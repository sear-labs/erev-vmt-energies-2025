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xr:revisionPtr revIDLastSave="38" documentId="11_085D666F1156B40E6235547658BB66BEB5FF9AB4" xr6:coauthVersionLast="47" xr6:coauthVersionMax="47" xr10:uidLastSave="{D5608D61-185B-47A4-9DCC-10D65D1F2C83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M2" i="1" s="1"/>
  <c r="J3" i="1"/>
  <c r="M3" i="1" s="1"/>
  <c r="J4" i="1"/>
  <c r="M4" i="1" s="1"/>
  <c r="J5" i="1"/>
  <c r="M5" i="1" s="1"/>
  <c r="J6" i="1"/>
  <c r="J7" i="1"/>
  <c r="M7" i="1" s="1"/>
  <c r="J8" i="1"/>
  <c r="M8" i="1" s="1"/>
  <c r="J9" i="1"/>
  <c r="M9" i="1" s="1"/>
  <c r="J10" i="1"/>
  <c r="M10" i="1" s="1"/>
  <c r="J11" i="1"/>
  <c r="J12" i="1"/>
  <c r="J13" i="1"/>
  <c r="M13" i="1"/>
  <c r="M6" i="1"/>
  <c r="M11" i="1"/>
  <c r="M12" i="1"/>
  <c r="M15" i="1"/>
  <c r="M16" i="1"/>
  <c r="M17" i="1"/>
  <c r="M18" i="1"/>
  <c r="M19" i="1"/>
  <c r="M20" i="1"/>
  <c r="M21" i="1"/>
  <c r="M22" i="1"/>
  <c r="M23" i="1"/>
  <c r="M24" i="1"/>
  <c r="M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J14" i="1" l="1"/>
  <c r="M14" i="1"/>
</calcChain>
</file>

<file path=xl/sharedStrings.xml><?xml version="1.0" encoding="utf-8"?>
<sst xmlns="http://schemas.openxmlformats.org/spreadsheetml/2006/main" count="11" uniqueCount="11">
  <si>
    <t>Range_mi</t>
  </si>
  <si>
    <t>Charges_per_week</t>
  </si>
  <si>
    <t>EV_share_%</t>
  </si>
  <si>
    <t>EV_VMT_B</t>
  </si>
  <si>
    <t>Gas_VMT_B</t>
  </si>
  <si>
    <t>Total_VMT_B</t>
  </si>
  <si>
    <t>Scenario</t>
  </si>
  <si>
    <t>EV VMT</t>
  </si>
  <si>
    <t>Gas VMT</t>
  </si>
  <si>
    <t>Total VMT</t>
  </si>
  <si>
    <t>Difference in Best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</si>
</sst>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J14" sqref="J2:J14"/>
    </sheetView>
  </sheetViews>
  <sheetFormatPr defaultRowHeight="15" x14ac:dyDescent="0.25"/>
  <cols>
    <col min="2" max="2" width="9.7109375" bestFit="1" customWidth="1"/>
    <col min="3" max="3" width="18.140625" bestFit="1" customWidth="1"/>
    <col min="4" max="4" width="12" bestFit="1" customWidth="1"/>
    <col min="5" max="5" width="10.5703125" bestFit="1" customWidth="1"/>
    <col min="6" max="6" width="11.5703125" bestFit="1" customWidth="1"/>
    <col min="7" max="7" width="12.7109375" bestFit="1" customWidth="1"/>
    <col min="10" max="10" width="24.140625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1">
        <v>0</v>
      </c>
      <c r="B2">
        <v>25</v>
      </c>
      <c r="C2">
        <v>2</v>
      </c>
      <c r="D2">
        <v>16.666666666666661</v>
      </c>
      <c r="E2">
        <v>543.79999999999995</v>
      </c>
      <c r="F2">
        <v>2719</v>
      </c>
      <c r="G2">
        <v>3262.8</v>
      </c>
      <c r="H2">
        <f>E2+F2</f>
        <v>3262.8</v>
      </c>
      <c r="J2">
        <f t="shared" ref="J2:J13" si="0">L2-K2</f>
        <v>1936.7500000000002</v>
      </c>
      <c r="K2">
        <v>1326.05</v>
      </c>
      <c r="L2">
        <v>3262.8</v>
      </c>
      <c r="M2">
        <f>J2-E2</f>
        <v>1392.9500000000003</v>
      </c>
    </row>
    <row r="3" spans="1:13" x14ac:dyDescent="0.25">
      <c r="A3" s="1">
        <v>1</v>
      </c>
      <c r="B3">
        <v>25</v>
      </c>
      <c r="C3">
        <v>3</v>
      </c>
      <c r="D3">
        <v>25</v>
      </c>
      <c r="E3">
        <v>815.7</v>
      </c>
      <c r="F3">
        <v>2447.1</v>
      </c>
      <c r="G3">
        <v>3262.8</v>
      </c>
      <c r="H3">
        <f t="shared" ref="H3:H25" si="1">E3+F3</f>
        <v>3262.8</v>
      </c>
      <c r="J3">
        <f t="shared" si="0"/>
        <v>1936.7500000000002</v>
      </c>
      <c r="K3">
        <v>1326.05</v>
      </c>
      <c r="L3">
        <v>3262.8</v>
      </c>
      <c r="M3">
        <f t="shared" ref="M3:M25" si="2">J3-E3</f>
        <v>1121.0500000000002</v>
      </c>
    </row>
    <row r="4" spans="1:13" x14ac:dyDescent="0.25">
      <c r="A4" s="1">
        <v>2</v>
      </c>
      <c r="B4">
        <v>25</v>
      </c>
      <c r="C4">
        <v>5</v>
      </c>
      <c r="D4">
        <v>41.666666666666671</v>
      </c>
      <c r="E4">
        <v>1359.5</v>
      </c>
      <c r="F4">
        <v>1903.3</v>
      </c>
      <c r="G4">
        <v>3262.8</v>
      </c>
      <c r="H4">
        <f t="shared" si="1"/>
        <v>3262.8</v>
      </c>
      <c r="J4">
        <f t="shared" si="0"/>
        <v>1936.7500000000002</v>
      </c>
      <c r="K4">
        <v>1326.05</v>
      </c>
      <c r="L4">
        <v>3262.8</v>
      </c>
      <c r="M4">
        <f t="shared" si="2"/>
        <v>577.25000000000023</v>
      </c>
    </row>
    <row r="5" spans="1:13" x14ac:dyDescent="0.25">
      <c r="A5" s="1">
        <v>3</v>
      </c>
      <c r="B5">
        <v>25</v>
      </c>
      <c r="C5">
        <v>7</v>
      </c>
      <c r="D5">
        <v>58.333333333333343</v>
      </c>
      <c r="E5">
        <v>1903.3</v>
      </c>
      <c r="F5">
        <v>1359.5</v>
      </c>
      <c r="G5">
        <v>3262.8</v>
      </c>
      <c r="H5">
        <f t="shared" si="1"/>
        <v>3262.8</v>
      </c>
      <c r="J5">
        <f t="shared" si="0"/>
        <v>1936.7500000000002</v>
      </c>
      <c r="K5">
        <v>1326.05</v>
      </c>
      <c r="L5">
        <v>3262.8</v>
      </c>
      <c r="M5">
        <f t="shared" si="2"/>
        <v>33.450000000000273</v>
      </c>
    </row>
    <row r="6" spans="1:13" x14ac:dyDescent="0.25">
      <c r="A6" s="1">
        <v>4</v>
      </c>
      <c r="B6">
        <v>50</v>
      </c>
      <c r="C6">
        <v>2</v>
      </c>
      <c r="D6">
        <v>28.333333333333329</v>
      </c>
      <c r="E6">
        <v>924.46</v>
      </c>
      <c r="F6">
        <v>2338.34</v>
      </c>
      <c r="G6">
        <v>3262.8</v>
      </c>
      <c r="H6">
        <f t="shared" si="1"/>
        <v>3262.8</v>
      </c>
      <c r="J6">
        <f t="shared" si="0"/>
        <v>2391.0700000000002</v>
      </c>
      <c r="K6">
        <v>871.73</v>
      </c>
      <c r="L6">
        <v>3262.8</v>
      </c>
      <c r="M6">
        <f t="shared" si="2"/>
        <v>1466.6100000000001</v>
      </c>
    </row>
    <row r="7" spans="1:13" x14ac:dyDescent="0.25">
      <c r="A7" s="1">
        <v>5</v>
      </c>
      <c r="B7">
        <v>50</v>
      </c>
      <c r="C7">
        <v>3</v>
      </c>
      <c r="D7">
        <v>45</v>
      </c>
      <c r="E7">
        <v>1468.26</v>
      </c>
      <c r="F7">
        <v>1794.54</v>
      </c>
      <c r="G7">
        <v>3262.8</v>
      </c>
      <c r="H7">
        <f t="shared" si="1"/>
        <v>3262.8</v>
      </c>
      <c r="J7">
        <f t="shared" si="0"/>
        <v>2391.0700000000002</v>
      </c>
      <c r="K7">
        <v>871.73</v>
      </c>
      <c r="L7">
        <v>3262.8</v>
      </c>
      <c r="M7">
        <f t="shared" si="2"/>
        <v>922.81000000000017</v>
      </c>
    </row>
    <row r="8" spans="1:13" x14ac:dyDescent="0.25">
      <c r="A8" s="1">
        <v>6</v>
      </c>
      <c r="B8">
        <v>50</v>
      </c>
      <c r="C8">
        <v>5</v>
      </c>
      <c r="D8">
        <v>68.333333333333329</v>
      </c>
      <c r="E8">
        <v>2229.58</v>
      </c>
      <c r="F8">
        <v>1033.22</v>
      </c>
      <c r="G8">
        <v>3262.8</v>
      </c>
      <c r="H8">
        <f t="shared" si="1"/>
        <v>3262.8</v>
      </c>
      <c r="J8">
        <f t="shared" si="0"/>
        <v>2391.0700000000002</v>
      </c>
      <c r="K8">
        <v>871.73</v>
      </c>
      <c r="L8">
        <v>3262.8</v>
      </c>
      <c r="M8">
        <f t="shared" si="2"/>
        <v>161.49000000000024</v>
      </c>
    </row>
    <row r="9" spans="1:13" x14ac:dyDescent="0.25">
      <c r="A9" s="1">
        <v>7</v>
      </c>
      <c r="B9">
        <v>50</v>
      </c>
      <c r="C9">
        <v>7</v>
      </c>
      <c r="D9">
        <v>91.666666666666657</v>
      </c>
      <c r="E9">
        <v>2990.9</v>
      </c>
      <c r="F9">
        <v>271.90000000000009</v>
      </c>
      <c r="G9">
        <v>3262.8</v>
      </c>
      <c r="H9">
        <f t="shared" si="1"/>
        <v>3262.8</v>
      </c>
      <c r="J9">
        <f t="shared" si="0"/>
        <v>2391.0700000000002</v>
      </c>
      <c r="K9">
        <v>871.73</v>
      </c>
      <c r="L9">
        <v>3262.8</v>
      </c>
      <c r="M9">
        <f t="shared" si="2"/>
        <v>-599.82999999999993</v>
      </c>
    </row>
    <row r="10" spans="1:13" x14ac:dyDescent="0.25">
      <c r="A10" s="1">
        <v>8</v>
      </c>
      <c r="B10">
        <v>75</v>
      </c>
      <c r="C10">
        <v>2</v>
      </c>
      <c r="D10">
        <v>36.666666666666657</v>
      </c>
      <c r="E10">
        <v>1196.3599999999999</v>
      </c>
      <c r="F10">
        <v>2066.44</v>
      </c>
      <c r="G10">
        <v>3262.8</v>
      </c>
      <c r="H10">
        <f t="shared" si="1"/>
        <v>3262.8</v>
      </c>
      <c r="J10">
        <f t="shared" si="0"/>
        <v>2551.0100000000002</v>
      </c>
      <c r="K10">
        <v>711.79</v>
      </c>
      <c r="L10">
        <v>3262.8</v>
      </c>
      <c r="M10">
        <f t="shared" si="2"/>
        <v>1354.6500000000003</v>
      </c>
    </row>
    <row r="11" spans="1:13" x14ac:dyDescent="0.25">
      <c r="A11" s="1">
        <v>9</v>
      </c>
      <c r="B11">
        <v>75</v>
      </c>
      <c r="C11">
        <v>3</v>
      </c>
      <c r="D11">
        <v>61.666666666666671</v>
      </c>
      <c r="E11">
        <v>2012.06</v>
      </c>
      <c r="F11">
        <v>1250.74</v>
      </c>
      <c r="G11">
        <v>3262.8</v>
      </c>
      <c r="H11">
        <f t="shared" si="1"/>
        <v>3262.8</v>
      </c>
      <c r="J11">
        <f t="shared" si="0"/>
        <v>2551.0100000000002</v>
      </c>
      <c r="K11">
        <v>711.79</v>
      </c>
      <c r="L11">
        <v>3262.8</v>
      </c>
      <c r="M11">
        <f t="shared" si="2"/>
        <v>538.95000000000027</v>
      </c>
    </row>
    <row r="12" spans="1:13" x14ac:dyDescent="0.25">
      <c r="A12" s="1">
        <v>10</v>
      </c>
      <c r="B12">
        <v>75</v>
      </c>
      <c r="C12">
        <v>5</v>
      </c>
      <c r="D12">
        <v>83.333333333333343</v>
      </c>
      <c r="E12">
        <v>2719</v>
      </c>
      <c r="F12">
        <v>543.79999999999984</v>
      </c>
      <c r="G12">
        <v>3262.8</v>
      </c>
      <c r="H12">
        <f t="shared" si="1"/>
        <v>3262.7999999999997</v>
      </c>
      <c r="J12">
        <f t="shared" si="0"/>
        <v>2551.0100000000002</v>
      </c>
      <c r="K12">
        <v>711.79</v>
      </c>
      <c r="L12">
        <v>3262.8</v>
      </c>
      <c r="M12">
        <f t="shared" si="2"/>
        <v>-167.98999999999978</v>
      </c>
    </row>
    <row r="13" spans="1:13" x14ac:dyDescent="0.25">
      <c r="A13" s="1">
        <v>11</v>
      </c>
      <c r="B13">
        <v>75</v>
      </c>
      <c r="C13">
        <v>7</v>
      </c>
      <c r="D13">
        <v>100</v>
      </c>
      <c r="E13">
        <v>3262.8</v>
      </c>
      <c r="F13">
        <v>0</v>
      </c>
      <c r="G13">
        <v>3262.8</v>
      </c>
      <c r="H13">
        <f t="shared" si="1"/>
        <v>3262.8</v>
      </c>
      <c r="J13">
        <f t="shared" si="0"/>
        <v>2551.0100000000002</v>
      </c>
      <c r="K13">
        <v>711.79</v>
      </c>
      <c r="L13">
        <v>3262.8</v>
      </c>
      <c r="M13">
        <f>J13-E13</f>
        <v>-711.79</v>
      </c>
    </row>
    <row r="14" spans="1:13" x14ac:dyDescent="0.25">
      <c r="A14" s="1">
        <v>12</v>
      </c>
      <c r="B14">
        <v>100</v>
      </c>
      <c r="C14">
        <v>2</v>
      </c>
      <c r="D14">
        <v>45</v>
      </c>
      <c r="E14">
        <v>1468.26</v>
      </c>
      <c r="F14">
        <v>1794.54</v>
      </c>
      <c r="G14">
        <v>3262.8</v>
      </c>
      <c r="H14">
        <f t="shared" si="1"/>
        <v>3262.8</v>
      </c>
      <c r="J14">
        <f>L14-K14</f>
        <v>3262.8</v>
      </c>
      <c r="L14">
        <v>3262.8</v>
      </c>
      <c r="M14">
        <f t="shared" si="2"/>
        <v>1794.5400000000002</v>
      </c>
    </row>
    <row r="15" spans="1:13" x14ac:dyDescent="0.25">
      <c r="A15" s="1">
        <v>13</v>
      </c>
      <c r="B15">
        <v>100</v>
      </c>
      <c r="C15">
        <v>3</v>
      </c>
      <c r="D15">
        <v>78.333333333333329</v>
      </c>
      <c r="E15">
        <v>2555.86</v>
      </c>
      <c r="F15">
        <v>706.94</v>
      </c>
      <c r="G15">
        <v>3262.8</v>
      </c>
      <c r="H15">
        <f t="shared" si="1"/>
        <v>3262.8</v>
      </c>
      <c r="L15">
        <v>3262.8</v>
      </c>
      <c r="M15">
        <f t="shared" si="2"/>
        <v>-2555.86</v>
      </c>
    </row>
    <row r="16" spans="1:13" x14ac:dyDescent="0.25">
      <c r="A16" s="1">
        <v>14</v>
      </c>
      <c r="B16">
        <v>100</v>
      </c>
      <c r="C16">
        <v>5</v>
      </c>
      <c r="D16">
        <v>91.666666666666657</v>
      </c>
      <c r="E16">
        <v>2990.9</v>
      </c>
      <c r="F16">
        <v>271.90000000000009</v>
      </c>
      <c r="G16">
        <v>3262.8</v>
      </c>
      <c r="H16">
        <f t="shared" si="1"/>
        <v>3262.8</v>
      </c>
      <c r="L16">
        <v>3262.8</v>
      </c>
      <c r="M16">
        <f t="shared" si="2"/>
        <v>-2990.9</v>
      </c>
    </row>
    <row r="17" spans="1:13" x14ac:dyDescent="0.25">
      <c r="A17" s="1">
        <v>15</v>
      </c>
      <c r="B17">
        <v>100</v>
      </c>
      <c r="C17">
        <v>7</v>
      </c>
      <c r="D17">
        <v>100</v>
      </c>
      <c r="E17">
        <v>3262.8</v>
      </c>
      <c r="F17">
        <v>0</v>
      </c>
      <c r="G17">
        <v>3262.8</v>
      </c>
      <c r="H17">
        <f t="shared" si="1"/>
        <v>3262.8</v>
      </c>
      <c r="L17">
        <v>3262.8</v>
      </c>
      <c r="M17">
        <f t="shared" si="2"/>
        <v>-3262.8</v>
      </c>
    </row>
    <row r="18" spans="1:13" x14ac:dyDescent="0.25">
      <c r="A18" s="1">
        <v>16</v>
      </c>
      <c r="B18">
        <v>125</v>
      </c>
      <c r="C18">
        <v>2</v>
      </c>
      <c r="D18">
        <v>53.333333333333343</v>
      </c>
      <c r="E18">
        <v>1740.16</v>
      </c>
      <c r="F18">
        <v>1522.64</v>
      </c>
      <c r="G18">
        <v>3262.8</v>
      </c>
      <c r="H18">
        <f t="shared" si="1"/>
        <v>3262.8</v>
      </c>
      <c r="L18">
        <v>3262.8</v>
      </c>
      <c r="M18">
        <f t="shared" si="2"/>
        <v>-1740.16</v>
      </c>
    </row>
    <row r="19" spans="1:13" x14ac:dyDescent="0.25">
      <c r="A19" s="1">
        <v>17</v>
      </c>
      <c r="B19">
        <v>125</v>
      </c>
      <c r="C19">
        <v>3</v>
      </c>
      <c r="D19">
        <v>91.666666666666657</v>
      </c>
      <c r="E19">
        <v>2990.9</v>
      </c>
      <c r="F19">
        <v>271.90000000000009</v>
      </c>
      <c r="G19">
        <v>3262.8</v>
      </c>
      <c r="H19">
        <f t="shared" si="1"/>
        <v>3262.8</v>
      </c>
      <c r="L19">
        <v>3262.8</v>
      </c>
      <c r="M19">
        <f t="shared" si="2"/>
        <v>-2990.9</v>
      </c>
    </row>
    <row r="20" spans="1:13" x14ac:dyDescent="0.25">
      <c r="A20" s="1">
        <v>18</v>
      </c>
      <c r="B20">
        <v>125</v>
      </c>
      <c r="C20">
        <v>5</v>
      </c>
      <c r="D20">
        <v>100</v>
      </c>
      <c r="E20">
        <v>3262.8</v>
      </c>
      <c r="F20">
        <v>0</v>
      </c>
      <c r="G20">
        <v>3262.8</v>
      </c>
      <c r="H20">
        <f t="shared" si="1"/>
        <v>3262.8</v>
      </c>
      <c r="L20">
        <v>3262.8</v>
      </c>
      <c r="M20">
        <f t="shared" si="2"/>
        <v>-3262.8</v>
      </c>
    </row>
    <row r="21" spans="1:13" x14ac:dyDescent="0.25">
      <c r="A21" s="1">
        <v>19</v>
      </c>
      <c r="B21">
        <v>125</v>
      </c>
      <c r="C21">
        <v>7</v>
      </c>
      <c r="D21">
        <v>100</v>
      </c>
      <c r="E21">
        <v>3262.8</v>
      </c>
      <c r="F21">
        <v>0</v>
      </c>
      <c r="G21">
        <v>3262.8</v>
      </c>
      <c r="H21">
        <f t="shared" si="1"/>
        <v>3262.8</v>
      </c>
      <c r="L21">
        <v>3262.8</v>
      </c>
      <c r="M21">
        <f t="shared" si="2"/>
        <v>-3262.8</v>
      </c>
    </row>
    <row r="22" spans="1:13" x14ac:dyDescent="0.25">
      <c r="A22" s="1">
        <v>20</v>
      </c>
      <c r="B22">
        <v>150</v>
      </c>
      <c r="C22">
        <v>2</v>
      </c>
      <c r="D22">
        <v>61.666666666666671</v>
      </c>
      <c r="E22">
        <v>2012.06</v>
      </c>
      <c r="F22">
        <v>1250.74</v>
      </c>
      <c r="G22">
        <v>3262.8</v>
      </c>
      <c r="H22">
        <f t="shared" si="1"/>
        <v>3262.8</v>
      </c>
      <c r="L22">
        <v>3262.8</v>
      </c>
      <c r="M22">
        <f t="shared" si="2"/>
        <v>-2012.06</v>
      </c>
    </row>
    <row r="23" spans="1:13" x14ac:dyDescent="0.25">
      <c r="A23" s="1">
        <v>21</v>
      </c>
      <c r="B23">
        <v>150</v>
      </c>
      <c r="C23">
        <v>3</v>
      </c>
      <c r="D23">
        <v>100</v>
      </c>
      <c r="E23">
        <v>3262.8</v>
      </c>
      <c r="F23">
        <v>0</v>
      </c>
      <c r="G23">
        <v>3262.8</v>
      </c>
      <c r="H23">
        <f t="shared" si="1"/>
        <v>3262.8</v>
      </c>
      <c r="L23">
        <v>3262.8</v>
      </c>
      <c r="M23">
        <f t="shared" si="2"/>
        <v>-3262.8</v>
      </c>
    </row>
    <row r="24" spans="1:13" x14ac:dyDescent="0.25">
      <c r="A24" s="1">
        <v>22</v>
      </c>
      <c r="B24">
        <v>150</v>
      </c>
      <c r="C24">
        <v>5</v>
      </c>
      <c r="D24">
        <v>100</v>
      </c>
      <c r="E24">
        <v>3262.8</v>
      </c>
      <c r="F24">
        <v>0</v>
      </c>
      <c r="G24">
        <v>3262.8</v>
      </c>
      <c r="H24">
        <f t="shared" si="1"/>
        <v>3262.8</v>
      </c>
      <c r="L24">
        <v>3262.8</v>
      </c>
      <c r="M24">
        <f t="shared" si="2"/>
        <v>-3262.8</v>
      </c>
    </row>
    <row r="25" spans="1:13" x14ac:dyDescent="0.25">
      <c r="A25" s="1">
        <v>23</v>
      </c>
      <c r="B25">
        <v>150</v>
      </c>
      <c r="C25">
        <v>7</v>
      </c>
      <c r="D25">
        <v>100</v>
      </c>
      <c r="E25">
        <v>3262.8</v>
      </c>
      <c r="F25">
        <v>0</v>
      </c>
      <c r="G25">
        <v>3262.8</v>
      </c>
      <c r="H25">
        <f t="shared" si="1"/>
        <v>3262.8</v>
      </c>
      <c r="L25">
        <v>3262.8</v>
      </c>
      <c r="M25">
        <f t="shared" si="2"/>
        <v>-3262.8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 Jr., Erick C.</cp:lastModifiedBy>
  <dcterms:created xsi:type="dcterms:W3CDTF">2025-11-03T23:40:45Z</dcterms:created>
  <dcterms:modified xsi:type="dcterms:W3CDTF">2025-11-04T21:09:55Z</dcterms:modified>
</cp:coreProperties>
</file>
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xr:revisionPtr revIDLastSave="5" documentId="8_{59F4696B-B4DF-4962-A765-9D7D950C230B}" xr6:coauthVersionLast="47" xr6:coauthVersionMax="47" xr10:uidLastSave="{F0A93987-412E-4564-875D-612DF1D279B3}"/>
  <bookViews>
    <workbookView xWindow="-98" yWindow="-98" windowWidth="19396" windowHeight="11475" xr2:uid="{0C7BE2BB-C9BB-4B20-BDC1-C840CD66A1E1}"/>
  </bookViews>
  <sheets>
    <sheet name="recomputed_vmt_table (1)" sheetId="1" r:id="rId1"/>
  </sheets>
  <definedNames>
    <definedName name="_xlnm._FilterDatabase" localSheetId="0" hidden="1">'recomputed_vmt_table (1)'!$A$1:$F$25</definedName>
  </definedName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<sst xmlns="http://schemas.openxmlformats.org/spreadsheetml/2006/main" count="6" uniqueCount="6">
  <si>
    <t>range_mi</t>
  </si>
  <si>
    <t>charges_per_week</t>
  </si>
  <si>
    <t>pct_ev_vmt</t>
  </si>
  <si>
    <t>ev_vmt_b</t>
  </si>
  <si>
    <t>gas_vmt_b</t>
  </si>
  <si>
    <t>total_vmt_b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</si>
</sst>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2F56-02AC-4D9F-A023-D267ED411643}">
  <dimension ref="A1:G25"/>
  <sheetViews>
    <sheetView tabSelected="1" topLeftCell="A13" workbookViewId="0">
      <selection activeCell="E25" sqref="E2:E25"/>
    </sheetView>
  </sheetViews>
  <sheetFormatPr defaultRowHeight="14.25" x14ac:dyDescent="0.45"/>
  <cols>
    <col min="4" max="4" width="27.73046875" customWidth="1"/>
    <col min="5" max="5" width="17.92968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45">
      <c r="A2">
        <v>25</v>
      </c>
      <c r="B2">
        <v>7</v>
      </c>
      <c r="C2">
        <v>49.58</v>
      </c>
      <c r="D2">
        <v>1617.8</v>
      </c>
      <c r="E2">
        <v>1645</v>
      </c>
      <c r="F2">
        <v>3262.8</v>
      </c>
      <c r="G2">
        <f>D2+E2</f>
        <v>3262.8</v>
      </c>
    </row>
    <row r="3" spans="1:7" x14ac:dyDescent="0.45">
      <c r="A3">
        <v>50</v>
      </c>
      <c r="B3">
        <v>7</v>
      </c>
      <c r="C3">
        <v>85.83</v>
      </c>
      <c r="D3">
        <v>2800.57</v>
      </c>
      <c r="E3">
        <v>462.23</v>
      </c>
      <c r="F3">
        <v>3262.8</v>
      </c>
      <c r="G3">
        <f t="shared" ref="G3:G25" si="0">D3+E3</f>
        <v>3262.8</v>
      </c>
    </row>
    <row r="4" spans="1:7" x14ac:dyDescent="0.45">
      <c r="A4">
        <v>75</v>
      </c>
      <c r="B4">
        <v>7</v>
      </c>
      <c r="C4">
        <v>97.92</v>
      </c>
      <c r="D4">
        <v>3194.82</v>
      </c>
      <c r="E4">
        <v>67.98</v>
      </c>
      <c r="F4">
        <v>3262.8</v>
      </c>
      <c r="G4">
        <f t="shared" si="0"/>
        <v>3262.8</v>
      </c>
    </row>
    <row r="5" spans="1:7" x14ac:dyDescent="0.45">
      <c r="A5">
        <v>100</v>
      </c>
      <c r="B5">
        <v>7</v>
      </c>
      <c r="C5">
        <v>100</v>
      </c>
      <c r="D5">
        <v>3262.8</v>
      </c>
      <c r="E5">
        <v>0</v>
      </c>
      <c r="F5">
        <v>3262.8</v>
      </c>
      <c r="G5">
        <f t="shared" si="0"/>
        <v>3262.8</v>
      </c>
    </row>
    <row r="6" spans="1:7" x14ac:dyDescent="0.45">
      <c r="A6">
        <v>125</v>
      </c>
      <c r="B6">
        <v>7</v>
      </c>
      <c r="C6">
        <v>100</v>
      </c>
      <c r="D6">
        <v>3262.8</v>
      </c>
      <c r="E6">
        <v>0</v>
      </c>
      <c r="F6">
        <v>3262.8</v>
      </c>
      <c r="G6">
        <f t="shared" si="0"/>
        <v>3262.8</v>
      </c>
    </row>
    <row r="7" spans="1:7" x14ac:dyDescent="0.45">
      <c r="A7">
        <v>150</v>
      </c>
      <c r="B7">
        <v>7</v>
      </c>
      <c r="C7">
        <v>100</v>
      </c>
      <c r="D7">
        <v>3262.8</v>
      </c>
      <c r="E7">
        <v>0</v>
      </c>
      <c r="F7">
        <v>3262.8</v>
      </c>
      <c r="G7">
        <f t="shared" si="0"/>
        <v>3262.8</v>
      </c>
    </row>
    <row r="8" spans="1:7" x14ac:dyDescent="0.45">
      <c r="A8">
        <v>25</v>
      </c>
      <c r="B8">
        <v>5</v>
      </c>
      <c r="C8">
        <v>42.5</v>
      </c>
      <c r="D8">
        <v>1386.69</v>
      </c>
      <c r="E8">
        <v>1876.11</v>
      </c>
      <c r="F8">
        <v>3262.8</v>
      </c>
      <c r="G8">
        <f t="shared" si="0"/>
        <v>3262.8</v>
      </c>
    </row>
    <row r="9" spans="1:7" x14ac:dyDescent="0.45">
      <c r="A9">
        <v>50</v>
      </c>
      <c r="B9">
        <v>5</v>
      </c>
      <c r="C9">
        <v>71.67</v>
      </c>
      <c r="D9">
        <v>2338.34</v>
      </c>
      <c r="E9">
        <v>924.46</v>
      </c>
      <c r="F9">
        <v>3262.8</v>
      </c>
      <c r="G9">
        <f t="shared" si="0"/>
        <v>3262.8</v>
      </c>
    </row>
    <row r="10" spans="1:7" x14ac:dyDescent="0.45">
      <c r="A10">
        <v>75</v>
      </c>
      <c r="B10">
        <v>5</v>
      </c>
      <c r="C10">
        <v>79.58</v>
      </c>
      <c r="D10">
        <v>2596.64</v>
      </c>
      <c r="E10">
        <v>666.16</v>
      </c>
      <c r="F10">
        <v>3262.8</v>
      </c>
      <c r="G10">
        <f t="shared" si="0"/>
        <v>3262.7999999999997</v>
      </c>
    </row>
    <row r="11" spans="1:7" x14ac:dyDescent="0.45">
      <c r="A11">
        <v>100</v>
      </c>
      <c r="B11">
        <v>5</v>
      </c>
      <c r="C11">
        <v>86.67</v>
      </c>
      <c r="D11">
        <v>2827.76</v>
      </c>
      <c r="E11">
        <v>435.04</v>
      </c>
      <c r="F11">
        <v>3262.8</v>
      </c>
      <c r="G11">
        <f t="shared" si="0"/>
        <v>3262.8</v>
      </c>
    </row>
    <row r="12" spans="1:7" x14ac:dyDescent="0.45">
      <c r="A12">
        <v>125</v>
      </c>
      <c r="B12">
        <v>5</v>
      </c>
      <c r="C12">
        <v>93.75</v>
      </c>
      <c r="D12">
        <v>3058.88</v>
      </c>
      <c r="E12">
        <v>203.92</v>
      </c>
      <c r="F12">
        <v>3262.8</v>
      </c>
      <c r="G12">
        <f t="shared" si="0"/>
        <v>3262.8</v>
      </c>
    </row>
    <row r="13" spans="1:7" x14ac:dyDescent="0.45">
      <c r="A13">
        <v>150</v>
      </c>
      <c r="B13">
        <v>5</v>
      </c>
      <c r="C13">
        <v>100</v>
      </c>
      <c r="D13">
        <v>3262.8</v>
      </c>
      <c r="E13">
        <v>0</v>
      </c>
      <c r="F13">
        <v>3262.8</v>
      </c>
      <c r="G13">
        <f t="shared" si="0"/>
        <v>3262.8</v>
      </c>
    </row>
    <row r="14" spans="1:7" x14ac:dyDescent="0.45">
      <c r="A14">
        <v>25</v>
      </c>
      <c r="B14">
        <v>3</v>
      </c>
      <c r="C14">
        <v>21.25</v>
      </c>
      <c r="D14">
        <v>693.34</v>
      </c>
      <c r="E14">
        <v>2569.46</v>
      </c>
      <c r="F14">
        <v>3262.8</v>
      </c>
      <c r="G14">
        <f t="shared" si="0"/>
        <v>3262.8</v>
      </c>
    </row>
    <row r="15" spans="1:7" x14ac:dyDescent="0.45">
      <c r="A15">
        <v>50</v>
      </c>
      <c r="B15">
        <v>3</v>
      </c>
      <c r="C15">
        <v>40</v>
      </c>
      <c r="D15">
        <v>1305.1199999999999</v>
      </c>
      <c r="E15">
        <v>1957.68</v>
      </c>
      <c r="F15">
        <v>3262.8</v>
      </c>
      <c r="G15">
        <f t="shared" si="0"/>
        <v>3262.8</v>
      </c>
    </row>
    <row r="16" spans="1:7" x14ac:dyDescent="0.45">
      <c r="A16">
        <v>75</v>
      </c>
      <c r="B16">
        <v>3</v>
      </c>
      <c r="C16">
        <v>54.17</v>
      </c>
      <c r="D16">
        <v>1767.35</v>
      </c>
      <c r="E16">
        <v>1495.45</v>
      </c>
      <c r="F16">
        <v>3262.8</v>
      </c>
      <c r="G16">
        <f t="shared" si="0"/>
        <v>3262.8</v>
      </c>
    </row>
    <row r="17" spans="1:7" x14ac:dyDescent="0.45">
      <c r="A17">
        <v>100</v>
      </c>
      <c r="B17">
        <v>3</v>
      </c>
      <c r="C17">
        <v>68.33</v>
      </c>
      <c r="D17">
        <v>2229.58</v>
      </c>
      <c r="E17">
        <v>1033.22</v>
      </c>
      <c r="F17">
        <v>3262.8</v>
      </c>
      <c r="G17">
        <f t="shared" si="0"/>
        <v>3262.8</v>
      </c>
    </row>
    <row r="18" spans="1:7" x14ac:dyDescent="0.45">
      <c r="A18">
        <v>125</v>
      </c>
      <c r="B18">
        <v>3</v>
      </c>
      <c r="C18">
        <v>82.5</v>
      </c>
      <c r="D18">
        <v>2691.81</v>
      </c>
      <c r="E18">
        <v>570.99</v>
      </c>
      <c r="F18">
        <v>3262.8</v>
      </c>
      <c r="G18">
        <f t="shared" si="0"/>
        <v>3262.8</v>
      </c>
    </row>
    <row r="19" spans="1:7" x14ac:dyDescent="0.45">
      <c r="A19">
        <v>150</v>
      </c>
      <c r="B19">
        <v>3</v>
      </c>
      <c r="C19">
        <v>92.5</v>
      </c>
      <c r="D19">
        <v>3018.09</v>
      </c>
      <c r="E19">
        <v>244.71</v>
      </c>
      <c r="F19">
        <v>3262.8</v>
      </c>
      <c r="G19">
        <f t="shared" si="0"/>
        <v>3262.8</v>
      </c>
    </row>
    <row r="20" spans="1:7" x14ac:dyDescent="0.45">
      <c r="A20">
        <v>25</v>
      </c>
      <c r="B20">
        <v>2</v>
      </c>
      <c r="C20">
        <v>14.17</v>
      </c>
      <c r="D20">
        <v>462.23</v>
      </c>
      <c r="E20">
        <v>2800.57</v>
      </c>
      <c r="F20">
        <v>3262.8</v>
      </c>
      <c r="G20">
        <f t="shared" si="0"/>
        <v>3262.8</v>
      </c>
    </row>
    <row r="21" spans="1:7" x14ac:dyDescent="0.45">
      <c r="A21">
        <v>50</v>
      </c>
      <c r="B21">
        <v>2</v>
      </c>
      <c r="C21">
        <v>25.83</v>
      </c>
      <c r="D21">
        <v>842.89</v>
      </c>
      <c r="E21">
        <v>2419.91</v>
      </c>
      <c r="F21">
        <v>3262.8</v>
      </c>
      <c r="G21">
        <f t="shared" si="0"/>
        <v>3262.7999999999997</v>
      </c>
    </row>
    <row r="22" spans="1:7" x14ac:dyDescent="0.45">
      <c r="A22">
        <v>75</v>
      </c>
      <c r="B22">
        <v>2</v>
      </c>
      <c r="C22">
        <v>32.92</v>
      </c>
      <c r="D22">
        <v>1074.01</v>
      </c>
      <c r="E22">
        <v>2188.8000000000002</v>
      </c>
      <c r="F22">
        <v>3262.8</v>
      </c>
      <c r="G22">
        <f t="shared" si="0"/>
        <v>3262.8100000000004</v>
      </c>
    </row>
    <row r="23" spans="1:7" x14ac:dyDescent="0.45">
      <c r="A23">
        <v>100</v>
      </c>
      <c r="B23">
        <v>2</v>
      </c>
      <c r="C23">
        <v>40</v>
      </c>
      <c r="D23">
        <v>1305.1199999999999</v>
      </c>
      <c r="E23">
        <v>1957.68</v>
      </c>
      <c r="F23">
        <v>3262.8</v>
      </c>
      <c r="G23">
        <f t="shared" si="0"/>
        <v>3262.8</v>
      </c>
    </row>
    <row r="24" spans="1:7" x14ac:dyDescent="0.45">
      <c r="A24">
        <v>125</v>
      </c>
      <c r="B24">
        <v>2</v>
      </c>
      <c r="C24">
        <v>47.08</v>
      </c>
      <c r="D24">
        <v>1536.24</v>
      </c>
      <c r="E24">
        <v>1726.56</v>
      </c>
      <c r="F24">
        <v>3262.8</v>
      </c>
      <c r="G24">
        <f t="shared" si="0"/>
        <v>3262.8</v>
      </c>
    </row>
    <row r="25" spans="1:7" x14ac:dyDescent="0.45">
      <c r="A25">
        <v>150</v>
      </c>
      <c r="B25">
        <v>2</v>
      </c>
      <c r="C25">
        <v>54.17</v>
      </c>
      <c r="D25">
        <v>1767.35</v>
      </c>
      <c r="E25">
        <v>1495.45</v>
      </c>
      <c r="F25">
        <v>3262.8</v>
      </c>
      <c r="G25">
        <f t="shared" si="0"/>
        <v>3262.8</v>
      </c>
    </row>
  </sheetData>
  <autoFilter ref="A1:F25" xr:uid="{68602F56-02AC-4D9F-A023-D267ED411643}">
    <sortState xmlns:xlrd2="http://schemas.microsoft.com/office/spreadsheetml/2017/richdata2" ref="A2:F25">
      <sortCondition descending="1" ref="B1:B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recomputed_vmt_table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Jr., Erick C.</dc:creator>
  <cp:lastModifiedBy>Jones Jr., Erick C.</cp:lastModifiedBy>
  <dcterms:created xsi:type="dcterms:W3CDTF">2025-11-05T00:49:18Z</dcterms:created>
  <dcterms:modified xsi:type="dcterms:W3CDTF">2025-11-05T00:57:11Z</dcterms:modified>
</cp:coreProperties>
</file>
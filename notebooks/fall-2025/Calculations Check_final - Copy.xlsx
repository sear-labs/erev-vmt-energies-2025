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bookViews>
    <workbookView xWindow="0" yWindow="0" windowWidth="23040" windowHeight="9372" activeTab="3"/>
  </bookViews>
  <sheets>
    <sheet name="Calcs by Scenario" sheetId="1" r:id="rId1"/>
    <sheet name="Subsectors_Emissions" sheetId="10" r:id="rId2"/>
    <sheet name="Rough1" sheetId="9" r:id="rId3"/>
    <sheet name="Calcs by Charge" sheetId="11" r:id="rId4"/>
    <sheet name="Trip Bin Distance" sheetId="7" r:id="rId5"/>
    <sheet name="Table 4" sheetId="2" r:id="rId6"/>
    <sheet name="Table  5" sheetId="6" r:id="rId7"/>
    <sheet name="Table 6" sheetId="5" r:id="rId8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11" l="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" i="11"/>
  <c r="S25" i="11" l="1"/>
  <c r="R25" i="11"/>
  <c r="I25" i="11"/>
  <c r="M25" i="11" s="1"/>
  <c r="F25" i="11"/>
  <c r="Z25" i="11" s="1"/>
  <c r="R24" i="11"/>
  <c r="S24" i="11" s="1"/>
  <c r="I24" i="11"/>
  <c r="M24" i="11" s="1"/>
  <c r="F24" i="11"/>
  <c r="Z24" i="11" s="1"/>
  <c r="R23" i="11"/>
  <c r="S23" i="11" s="1"/>
  <c r="I23" i="11"/>
  <c r="M23" i="11" s="1"/>
  <c r="F23" i="11"/>
  <c r="Z23" i="11" s="1"/>
  <c r="Z22" i="11"/>
  <c r="R22" i="11"/>
  <c r="S22" i="11" s="1"/>
  <c r="M22" i="11"/>
  <c r="O22" i="11" s="1"/>
  <c r="J22" i="11"/>
  <c r="I22" i="11"/>
  <c r="F22" i="11"/>
  <c r="H22" i="11" s="1"/>
  <c r="Z21" i="11"/>
  <c r="S21" i="11"/>
  <c r="R21" i="11"/>
  <c r="I21" i="11"/>
  <c r="M21" i="11" s="1"/>
  <c r="F21" i="11"/>
  <c r="H21" i="11" s="1"/>
  <c r="R20" i="11"/>
  <c r="S20" i="11" s="1"/>
  <c r="I20" i="11"/>
  <c r="M20" i="11" s="1"/>
  <c r="F20" i="11"/>
  <c r="Z20" i="11" s="1"/>
  <c r="R19" i="11"/>
  <c r="S19" i="11" s="1"/>
  <c r="M19" i="11"/>
  <c r="O19" i="11" s="1"/>
  <c r="I19" i="11"/>
  <c r="J19" i="11" s="1"/>
  <c r="K19" i="11" s="1"/>
  <c r="F19" i="11"/>
  <c r="Z19" i="11" s="1"/>
  <c r="R18" i="11"/>
  <c r="S18" i="11" s="1"/>
  <c r="J18" i="11"/>
  <c r="I18" i="11"/>
  <c r="M18" i="11" s="1"/>
  <c r="F18" i="11"/>
  <c r="Z18" i="11" s="1"/>
  <c r="R17" i="11"/>
  <c r="S17" i="11" s="1"/>
  <c r="M17" i="11"/>
  <c r="AB17" i="11" s="1"/>
  <c r="AC17" i="11" s="1"/>
  <c r="I17" i="11"/>
  <c r="J17" i="11" s="1"/>
  <c r="K17" i="11" s="1"/>
  <c r="H17" i="11"/>
  <c r="F17" i="11"/>
  <c r="Z17" i="11" s="1"/>
  <c r="Z16" i="11"/>
  <c r="T16" i="11"/>
  <c r="S16" i="11"/>
  <c r="R16" i="11"/>
  <c r="M16" i="11"/>
  <c r="O16" i="11" s="1"/>
  <c r="J16" i="11"/>
  <c r="I16" i="11"/>
  <c r="F16" i="11"/>
  <c r="H16" i="11" s="1"/>
  <c r="Z15" i="11"/>
  <c r="R15" i="11"/>
  <c r="S15" i="11" s="1"/>
  <c r="I15" i="11"/>
  <c r="M15" i="11" s="1"/>
  <c r="H15" i="11"/>
  <c r="F15" i="11"/>
  <c r="R14" i="11"/>
  <c r="S14" i="11" s="1"/>
  <c r="I14" i="11"/>
  <c r="M14" i="11" s="1"/>
  <c r="F14" i="11"/>
  <c r="Z14" i="11" s="1"/>
  <c r="R13" i="11"/>
  <c r="S13" i="11" s="1"/>
  <c r="J13" i="11"/>
  <c r="I13" i="11"/>
  <c r="M13" i="11" s="1"/>
  <c r="F13" i="11"/>
  <c r="Z13" i="11" s="1"/>
  <c r="R12" i="11"/>
  <c r="S12" i="11" s="1"/>
  <c r="I12" i="11"/>
  <c r="M12" i="11" s="1"/>
  <c r="H12" i="11"/>
  <c r="F12" i="11"/>
  <c r="Z12" i="11" s="1"/>
  <c r="Z11" i="11"/>
  <c r="R11" i="11"/>
  <c r="S11" i="11" s="1"/>
  <c r="M11" i="11"/>
  <c r="AB11" i="11" s="1"/>
  <c r="AC11" i="11" s="1"/>
  <c r="I11" i="11"/>
  <c r="J11" i="11" s="1"/>
  <c r="F11" i="11"/>
  <c r="H11" i="11" s="1"/>
  <c r="Z10" i="11"/>
  <c r="S10" i="11"/>
  <c r="R10" i="11"/>
  <c r="I10" i="11"/>
  <c r="J10" i="11" s="1"/>
  <c r="F10" i="11"/>
  <c r="H10" i="11" s="1"/>
  <c r="S9" i="11"/>
  <c r="T9" i="11" s="1"/>
  <c r="R9" i="11"/>
  <c r="I9" i="11"/>
  <c r="M9" i="11" s="1"/>
  <c r="F9" i="11"/>
  <c r="H9" i="11" s="1"/>
  <c r="S8" i="11"/>
  <c r="T8" i="11" s="1"/>
  <c r="R8" i="11"/>
  <c r="I8" i="11"/>
  <c r="M8" i="11" s="1"/>
  <c r="F8" i="11"/>
  <c r="Z8" i="11" s="1"/>
  <c r="R7" i="11"/>
  <c r="S7" i="11" s="1"/>
  <c r="J7" i="11"/>
  <c r="K7" i="11" s="1"/>
  <c r="I7" i="11"/>
  <c r="M7" i="11" s="1"/>
  <c r="F7" i="11"/>
  <c r="Z7" i="11" s="1"/>
  <c r="R6" i="11"/>
  <c r="S6" i="11" s="1"/>
  <c r="M6" i="11"/>
  <c r="O6" i="11" s="1"/>
  <c r="P6" i="11" s="1"/>
  <c r="Q6" i="11" s="1"/>
  <c r="I6" i="11"/>
  <c r="J6" i="11" s="1"/>
  <c r="K6" i="11" s="1"/>
  <c r="H6" i="11"/>
  <c r="F6" i="11"/>
  <c r="Z6" i="11" s="1"/>
  <c r="Z5" i="11"/>
  <c r="T5" i="11"/>
  <c r="S5" i="11"/>
  <c r="V5" i="11" s="1"/>
  <c r="R5" i="11"/>
  <c r="M5" i="11"/>
  <c r="AB5" i="11" s="1"/>
  <c r="AC5" i="11" s="1"/>
  <c r="J5" i="11"/>
  <c r="K5" i="11" s="1"/>
  <c r="I5" i="11"/>
  <c r="F5" i="11"/>
  <c r="H5" i="11" s="1"/>
  <c r="Z4" i="11"/>
  <c r="R4" i="11"/>
  <c r="S4" i="11" s="1"/>
  <c r="I4" i="11"/>
  <c r="J4" i="11" s="1"/>
  <c r="H4" i="11"/>
  <c r="F4" i="11"/>
  <c r="U3" i="11"/>
  <c r="U4" i="11" s="1"/>
  <c r="U5" i="11" s="1"/>
  <c r="U6" i="11" s="1"/>
  <c r="U7" i="11" s="1"/>
  <c r="U8" i="11" s="1"/>
  <c r="U9" i="11" s="1"/>
  <c r="T3" i="11"/>
  <c r="S3" i="11"/>
  <c r="R3" i="11"/>
  <c r="I3" i="11"/>
  <c r="M3" i="11" s="1"/>
  <c r="F3" i="11"/>
  <c r="H3" i="11" s="1"/>
  <c r="Z2" i="11"/>
  <c r="R2" i="11"/>
  <c r="S2" i="11" s="1"/>
  <c r="I2" i="11"/>
  <c r="M2" i="11" s="1"/>
  <c r="H2" i="11"/>
  <c r="F2" i="11"/>
  <c r="C11" i="10"/>
  <c r="C10" i="10"/>
  <c r="C9" i="10"/>
  <c r="C8" i="10"/>
  <c r="C7" i="10"/>
  <c r="C6" i="10"/>
  <c r="C5" i="10"/>
  <c r="C4" i="10"/>
  <c r="C2" i="10"/>
  <c r="J19" i="9"/>
  <c r="J18" i="9"/>
  <c r="J17" i="9"/>
  <c r="J16" i="9"/>
  <c r="G16" i="9"/>
  <c r="H16" i="9" s="1"/>
  <c r="J15" i="9"/>
  <c r="G15" i="9"/>
  <c r="H15" i="9" s="1"/>
  <c r="J14" i="9"/>
  <c r="H14" i="9"/>
  <c r="J13" i="9"/>
  <c r="H13" i="9"/>
  <c r="J12" i="9"/>
  <c r="H12" i="9"/>
  <c r="J11" i="9"/>
  <c r="H11" i="9"/>
  <c r="J10" i="9"/>
  <c r="H10" i="9"/>
  <c r="J9" i="9"/>
  <c r="H9" i="9"/>
  <c r="J8" i="9"/>
  <c r="H8" i="9"/>
  <c r="J7" i="9"/>
  <c r="H7" i="9"/>
  <c r="J6" i="9"/>
  <c r="H6" i="9"/>
  <c r="E5" i="9"/>
  <c r="G5" i="9" s="1"/>
  <c r="I5" i="9" s="1"/>
  <c r="J5" i="9" s="1"/>
  <c r="E4" i="9"/>
  <c r="G4" i="9" s="1"/>
  <c r="I4" i="9" s="1"/>
  <c r="J4" i="9" s="1"/>
  <c r="E3" i="9"/>
  <c r="G3" i="9" s="1"/>
  <c r="I3" i="9" s="1"/>
  <c r="J3" i="9" s="1"/>
  <c r="E2" i="9"/>
  <c r="G2" i="9" s="1"/>
  <c r="I2" i="9" s="1"/>
  <c r="J2" i="9" s="1"/>
  <c r="O3" i="11" l="1"/>
  <c r="P3" i="11" s="1"/>
  <c r="Q3" i="11" s="1"/>
  <c r="AB3" i="11"/>
  <c r="AB23" i="11"/>
  <c r="AC23" i="11" s="1"/>
  <c r="O23" i="11"/>
  <c r="T23" i="11"/>
  <c r="K10" i="11"/>
  <c r="V6" i="11"/>
  <c r="T6" i="11"/>
  <c r="V7" i="11"/>
  <c r="T7" i="11"/>
  <c r="K16" i="11"/>
  <c r="O8" i="11"/>
  <c r="AB8" i="11"/>
  <c r="AC8" i="11" s="1"/>
  <c r="P16" i="11"/>
  <c r="Q16" i="11" s="1"/>
  <c r="K18" i="11"/>
  <c r="O24" i="11"/>
  <c r="AB24" i="11"/>
  <c r="AC24" i="11" s="1"/>
  <c r="AF5" i="11"/>
  <c r="AE5" i="11"/>
  <c r="AD5" i="11"/>
  <c r="O21" i="11"/>
  <c r="P21" i="11" s="1"/>
  <c r="Q21" i="11" s="1"/>
  <c r="AB21" i="11"/>
  <c r="AC21" i="11" s="1"/>
  <c r="K11" i="11"/>
  <c r="T18" i="11"/>
  <c r="T24" i="11"/>
  <c r="T22" i="11"/>
  <c r="AB12" i="11"/>
  <c r="AC12" i="11" s="1"/>
  <c r="O12" i="11"/>
  <c r="P12" i="11" s="1"/>
  <c r="Q12" i="11" s="1"/>
  <c r="T20" i="11"/>
  <c r="V20" i="11"/>
  <c r="AE11" i="11"/>
  <c r="AD11" i="11"/>
  <c r="O20" i="11"/>
  <c r="AB20" i="11"/>
  <c r="AC20" i="11" s="1"/>
  <c r="T12" i="11"/>
  <c r="W5" i="11"/>
  <c r="X5" i="11"/>
  <c r="U10" i="11"/>
  <c r="U11" i="11" s="1"/>
  <c r="U12" i="11" s="1"/>
  <c r="U13" i="11" s="1"/>
  <c r="U14" i="11" s="1"/>
  <c r="U15" i="11" s="1"/>
  <c r="U16" i="11" s="1"/>
  <c r="U17" i="11" s="1"/>
  <c r="U18" i="11" s="1"/>
  <c r="U19" i="11" s="1"/>
  <c r="U20" i="11" s="1"/>
  <c r="U21" i="11" s="1"/>
  <c r="U22" i="11" s="1"/>
  <c r="U23" i="11" s="1"/>
  <c r="U24" i="11" s="1"/>
  <c r="U25" i="11" s="1"/>
  <c r="V25" i="11" s="1"/>
  <c r="V9" i="11"/>
  <c r="K4" i="11"/>
  <c r="V11" i="11"/>
  <c r="T11" i="11"/>
  <c r="T14" i="11"/>
  <c r="O25" i="11"/>
  <c r="AB25" i="11"/>
  <c r="AC25" i="11" s="1"/>
  <c r="O7" i="11"/>
  <c r="AB7" i="11"/>
  <c r="AC7" i="11" s="1"/>
  <c r="T17" i="11"/>
  <c r="V10" i="11"/>
  <c r="V13" i="11"/>
  <c r="T13" i="11"/>
  <c r="O2" i="11"/>
  <c r="P2" i="11" s="1"/>
  <c r="Q2" i="11" s="1"/>
  <c r="AB2" i="11"/>
  <c r="AC2" i="11" s="1"/>
  <c r="T4" i="11"/>
  <c r="V4" i="11"/>
  <c r="O9" i="11"/>
  <c r="P9" i="11" s="1"/>
  <c r="Q9" i="11" s="1"/>
  <c r="AB9" i="11"/>
  <c r="O15" i="11"/>
  <c r="P15" i="11" s="1"/>
  <c r="Q15" i="11" s="1"/>
  <c r="AB15" i="11"/>
  <c r="AC15" i="11" s="1"/>
  <c r="T15" i="11"/>
  <c r="V15" i="11"/>
  <c r="AE17" i="11"/>
  <c r="AD17" i="11"/>
  <c r="O13" i="11"/>
  <c r="AB13" i="11"/>
  <c r="AC13" i="11" s="1"/>
  <c r="O18" i="11"/>
  <c r="AB18" i="11"/>
  <c r="AC18" i="11" s="1"/>
  <c r="O14" i="11"/>
  <c r="P14" i="11" s="1"/>
  <c r="Q14" i="11" s="1"/>
  <c r="AB14" i="11"/>
  <c r="AC14" i="11" s="1"/>
  <c r="V2" i="11"/>
  <c r="T2" i="11"/>
  <c r="V19" i="11"/>
  <c r="T19" i="11"/>
  <c r="P22" i="11"/>
  <c r="Q22" i="11" s="1"/>
  <c r="O17" i="11"/>
  <c r="P17" i="11" s="1"/>
  <c r="Q17" i="11" s="1"/>
  <c r="AF17" i="11" s="1"/>
  <c r="J21" i="11"/>
  <c r="AB22" i="11"/>
  <c r="AC22" i="11" s="1"/>
  <c r="T25" i="11"/>
  <c r="AB6" i="11"/>
  <c r="AC6" i="11" s="1"/>
  <c r="J15" i="11"/>
  <c r="K15" i="11" s="1"/>
  <c r="AB16" i="11"/>
  <c r="AC16" i="11" s="1"/>
  <c r="H20" i="11"/>
  <c r="V3" i="11"/>
  <c r="O5" i="11"/>
  <c r="P5" i="11" s="1"/>
  <c r="Q5" i="11" s="1"/>
  <c r="V8" i="11"/>
  <c r="J9" i="11"/>
  <c r="M10" i="11"/>
  <c r="H14" i="11"/>
  <c r="H25" i="11"/>
  <c r="J3" i="11"/>
  <c r="K3" i="11" s="1"/>
  <c r="H8" i="11"/>
  <c r="Z9" i="11"/>
  <c r="H19" i="11"/>
  <c r="P19" i="11" s="1"/>
  <c r="Q19" i="11" s="1"/>
  <c r="J20" i="11"/>
  <c r="O11" i="11"/>
  <c r="P11" i="11" s="1"/>
  <c r="Q11" i="11" s="1"/>
  <c r="AF11" i="11" s="1"/>
  <c r="M4" i="11"/>
  <c r="Z3" i="11"/>
  <c r="H13" i="11"/>
  <c r="J14" i="11"/>
  <c r="H24" i="11"/>
  <c r="J25" i="11"/>
  <c r="H7" i="11"/>
  <c r="J8" i="11"/>
  <c r="H18" i="11"/>
  <c r="H23" i="11"/>
  <c r="J24" i="11"/>
  <c r="K24" i="11" s="1"/>
  <c r="AB19" i="11"/>
  <c r="AC19" i="11" s="1"/>
  <c r="J2" i="11"/>
  <c r="T10" i="11"/>
  <c r="J12" i="11"/>
  <c r="T21" i="11"/>
  <c r="J23" i="11"/>
  <c r="K23" i="11" s="1"/>
  <c r="P12" i="7"/>
  <c r="M12" i="7"/>
  <c r="G22" i="7"/>
  <c r="K2" i="7"/>
  <c r="K3" i="7"/>
  <c r="K4" i="7"/>
  <c r="K5" i="7"/>
  <c r="K6" i="7"/>
  <c r="K7" i="7"/>
  <c r="K8" i="7"/>
  <c r="L8" i="7" s="1"/>
  <c r="O8" i="7" s="1"/>
  <c r="Q8" i="7" s="1"/>
  <c r="K9" i="7"/>
  <c r="L9" i="7" s="1"/>
  <c r="K10" i="7"/>
  <c r="L10" i="7" s="1"/>
  <c r="O10" i="7" s="1"/>
  <c r="K11" i="7"/>
  <c r="L11" i="7" s="1"/>
  <c r="O11" i="7" s="1"/>
  <c r="M11" i="7"/>
  <c r="G2" i="7"/>
  <c r="G3" i="7"/>
  <c r="G4" i="7"/>
  <c r="G5" i="7"/>
  <c r="G6" i="7"/>
  <c r="G7" i="7"/>
  <c r="G15" i="7"/>
  <c r="G16" i="7" s="1"/>
  <c r="H11" i="7"/>
  <c r="G19" i="7" s="1"/>
  <c r="G11" i="7"/>
  <c r="J11" i="7" s="1"/>
  <c r="D11" i="7"/>
  <c r="E11" i="7" s="1"/>
  <c r="H10" i="7"/>
  <c r="G10" i="7"/>
  <c r="J10" i="7" s="1"/>
  <c r="D10" i="7"/>
  <c r="E10" i="7" s="1"/>
  <c r="H9" i="7"/>
  <c r="G9" i="7"/>
  <c r="D9" i="7"/>
  <c r="E9" i="7" s="1"/>
  <c r="H8" i="7"/>
  <c r="G8" i="7"/>
  <c r="J8" i="7" s="1"/>
  <c r="D8" i="7"/>
  <c r="E8" i="7" s="1"/>
  <c r="H7" i="7"/>
  <c r="D7" i="7"/>
  <c r="E7" i="7" s="1"/>
  <c r="H6" i="7"/>
  <c r="J6" i="7"/>
  <c r="L6" i="7" s="1"/>
  <c r="D6" i="7"/>
  <c r="E6" i="7" s="1"/>
  <c r="H5" i="7"/>
  <c r="J5" i="7"/>
  <c r="L5" i="7" s="1"/>
  <c r="D5" i="7"/>
  <c r="E5" i="7" s="1"/>
  <c r="H4" i="7"/>
  <c r="D4" i="7"/>
  <c r="E4" i="7" s="1"/>
  <c r="H3" i="7"/>
  <c r="J3" i="7"/>
  <c r="M3" i="7" s="1"/>
  <c r="D3" i="7"/>
  <c r="E3" i="7" s="1"/>
  <c r="H2" i="7"/>
  <c r="D2" i="7"/>
  <c r="E2" i="7" s="1"/>
  <c r="R2" i="1"/>
  <c r="D25" i="1"/>
  <c r="F25" i="1" s="1"/>
  <c r="H25" i="1" s="1"/>
  <c r="D18" i="1"/>
  <c r="I18" i="1" s="1"/>
  <c r="M18" i="1" s="1"/>
  <c r="O18" i="1" s="1"/>
  <c r="D9" i="1"/>
  <c r="I9" i="1" s="1"/>
  <c r="J9" i="1" s="1"/>
  <c r="D2" i="1"/>
  <c r="I2" i="1" s="1"/>
  <c r="M2" i="1" s="1"/>
  <c r="O2" i="1" s="1"/>
  <c r="U11" i="1"/>
  <c r="U12" i="1" s="1"/>
  <c r="U13" i="1" s="1"/>
  <c r="U3" i="1"/>
  <c r="U4" i="1" s="1"/>
  <c r="U5" i="1" s="1"/>
  <c r="U6" i="1" s="1"/>
  <c r="U7" i="1" s="1"/>
  <c r="U8" i="1" s="1"/>
  <c r="U9" i="1" s="1"/>
  <c r="R10" i="1"/>
  <c r="S10" i="1" s="1"/>
  <c r="V10" i="1" s="1"/>
  <c r="R11" i="1"/>
  <c r="S11" i="1" s="1"/>
  <c r="T11" i="1" s="1"/>
  <c r="R12" i="1"/>
  <c r="S12" i="1" s="1"/>
  <c r="T12" i="1" s="1"/>
  <c r="R13" i="1"/>
  <c r="S13" i="1" s="1"/>
  <c r="T13" i="1" s="1"/>
  <c r="R14" i="1"/>
  <c r="S14" i="1" s="1"/>
  <c r="T14" i="1" s="1"/>
  <c r="R15" i="1"/>
  <c r="S15" i="1" s="1"/>
  <c r="T15" i="1" s="1"/>
  <c r="R16" i="1"/>
  <c r="S16" i="1" s="1"/>
  <c r="T16" i="1" s="1"/>
  <c r="R17" i="1"/>
  <c r="S17" i="1" s="1"/>
  <c r="T17" i="1" s="1"/>
  <c r="R18" i="1"/>
  <c r="S18" i="1" s="1"/>
  <c r="V18" i="1" s="1"/>
  <c r="L19" i="1"/>
  <c r="L20" i="1" s="1"/>
  <c r="L3" i="1"/>
  <c r="L4" i="1" s="1"/>
  <c r="L5" i="1" s="1"/>
  <c r="L6" i="1" s="1"/>
  <c r="L7" i="1" s="1"/>
  <c r="L8" i="1" s="1"/>
  <c r="L9" i="1" s="1"/>
  <c r="R9" i="1" s="1"/>
  <c r="S9" i="1" s="1"/>
  <c r="T9" i="1" s="1"/>
  <c r="N3" i="1"/>
  <c r="N4" i="1" s="1"/>
  <c r="E3" i="1"/>
  <c r="E4" i="1" s="1"/>
  <c r="E5" i="1" s="1"/>
  <c r="E6" i="1" s="1"/>
  <c r="E7" i="1" s="1"/>
  <c r="F24" i="1"/>
  <c r="H24" i="1" s="1"/>
  <c r="F23" i="1"/>
  <c r="H23" i="1" s="1"/>
  <c r="F22" i="1"/>
  <c r="H22" i="1" s="1"/>
  <c r="F21" i="1"/>
  <c r="H21" i="1" s="1"/>
  <c r="F20" i="1"/>
  <c r="H20" i="1" s="1"/>
  <c r="F19" i="1"/>
  <c r="H19" i="1" s="1"/>
  <c r="D17" i="1"/>
  <c r="I17" i="1" s="1"/>
  <c r="M17" i="1" s="1"/>
  <c r="AB17" i="1" s="1"/>
  <c r="I16" i="1"/>
  <c r="M16" i="1" s="1"/>
  <c r="AB16" i="1" s="1"/>
  <c r="I15" i="1"/>
  <c r="M15" i="1" s="1"/>
  <c r="AB15" i="1" s="1"/>
  <c r="I14" i="1"/>
  <c r="M14" i="1" s="1"/>
  <c r="O14" i="1" s="1"/>
  <c r="I13" i="1"/>
  <c r="M13" i="1" s="1"/>
  <c r="AB13" i="1" s="1"/>
  <c r="I12" i="1"/>
  <c r="M12" i="1" s="1"/>
  <c r="AB12" i="1" s="1"/>
  <c r="I11" i="1"/>
  <c r="M11" i="1" s="1"/>
  <c r="AB11" i="1" s="1"/>
  <c r="D10" i="1"/>
  <c r="I10" i="1" s="1"/>
  <c r="M10" i="1" s="1"/>
  <c r="AB10" i="1" s="1"/>
  <c r="I8" i="1"/>
  <c r="J8" i="1" s="1"/>
  <c r="I7" i="1"/>
  <c r="J7" i="1" s="1"/>
  <c r="I5" i="1"/>
  <c r="J5" i="1" s="1"/>
  <c r="X25" i="11" l="1"/>
  <c r="X19" i="11"/>
  <c r="W19" i="11"/>
  <c r="X13" i="11"/>
  <c r="W13" i="11"/>
  <c r="X20" i="11"/>
  <c r="W20" i="11"/>
  <c r="AE19" i="11"/>
  <c r="AD19" i="11"/>
  <c r="AF19" i="11"/>
  <c r="AF16" i="11"/>
  <c r="AE16" i="11"/>
  <c r="AD16" i="11"/>
  <c r="X2" i="11"/>
  <c r="W2" i="11"/>
  <c r="AF15" i="11"/>
  <c r="AE15" i="11"/>
  <c r="AD15" i="11"/>
  <c r="W10" i="11"/>
  <c r="X10" i="11"/>
  <c r="W9" i="11"/>
  <c r="X9" i="11"/>
  <c r="X7" i="11"/>
  <c r="X15" i="11"/>
  <c r="W15" i="11"/>
  <c r="AF14" i="11"/>
  <c r="AE14" i="11"/>
  <c r="AD14" i="11"/>
  <c r="AF6" i="11"/>
  <c r="AD6" i="11"/>
  <c r="AE6" i="11"/>
  <c r="V17" i="11"/>
  <c r="AD12" i="11"/>
  <c r="AE12" i="11"/>
  <c r="AF12" i="11"/>
  <c r="X6" i="11"/>
  <c r="W6" i="11"/>
  <c r="AD18" i="11"/>
  <c r="AE18" i="11"/>
  <c r="AC9" i="11"/>
  <c r="AD7" i="11"/>
  <c r="AE7" i="11"/>
  <c r="AF7" i="11"/>
  <c r="AD24" i="11"/>
  <c r="AE24" i="11"/>
  <c r="X11" i="11"/>
  <c r="W11" i="11"/>
  <c r="K25" i="11"/>
  <c r="AF22" i="11"/>
  <c r="AE22" i="11"/>
  <c r="AD22" i="11"/>
  <c r="P18" i="11"/>
  <c r="Q18" i="11" s="1"/>
  <c r="AF18" i="11" s="1"/>
  <c r="P7" i="11"/>
  <c r="Q7" i="11" s="1"/>
  <c r="W7" i="11" s="1"/>
  <c r="V22" i="11"/>
  <c r="P24" i="11"/>
  <c r="Q24" i="11" s="1"/>
  <c r="AF24" i="11" s="1"/>
  <c r="K22" i="11"/>
  <c r="K21" i="11"/>
  <c r="AD13" i="11"/>
  <c r="AE13" i="11"/>
  <c r="AF13" i="11"/>
  <c r="X4" i="11"/>
  <c r="AF25" i="11"/>
  <c r="AE25" i="11"/>
  <c r="AD25" i="11"/>
  <c r="V12" i="11"/>
  <c r="V21" i="11"/>
  <c r="V23" i="11"/>
  <c r="O10" i="11"/>
  <c r="P10" i="11" s="1"/>
  <c r="Q10" i="11" s="1"/>
  <c r="AB10" i="11"/>
  <c r="AC10" i="11" s="1"/>
  <c r="P13" i="11"/>
  <c r="Q13" i="11" s="1"/>
  <c r="P25" i="11"/>
  <c r="Q25" i="11" s="1"/>
  <c r="W25" i="11" s="1"/>
  <c r="AF20" i="11"/>
  <c r="AE20" i="11"/>
  <c r="AD20" i="11"/>
  <c r="V24" i="11"/>
  <c r="P23" i="11"/>
  <c r="Q23" i="11" s="1"/>
  <c r="AF23" i="11" s="1"/>
  <c r="K12" i="11"/>
  <c r="K13" i="11"/>
  <c r="K9" i="11"/>
  <c r="AD2" i="11"/>
  <c r="AE2" i="11"/>
  <c r="V14" i="11"/>
  <c r="P20" i="11"/>
  <c r="Q20" i="11" s="1"/>
  <c r="AE23" i="11"/>
  <c r="AD23" i="11"/>
  <c r="AF21" i="11"/>
  <c r="AE21" i="11"/>
  <c r="AD21" i="11"/>
  <c r="X8" i="11"/>
  <c r="W8" i="11"/>
  <c r="V18" i="11"/>
  <c r="AE8" i="11"/>
  <c r="AD8" i="11"/>
  <c r="AC3" i="11"/>
  <c r="X3" i="11"/>
  <c r="W3" i="11"/>
  <c r="O4" i="11"/>
  <c r="P4" i="11" s="1"/>
  <c r="Q4" i="11" s="1"/>
  <c r="W4" i="11" s="1"/>
  <c r="AB4" i="11"/>
  <c r="AC4" i="11" s="1"/>
  <c r="V16" i="11"/>
  <c r="P8" i="11"/>
  <c r="Q8" i="11" s="1"/>
  <c r="AF8" i="11" s="1"/>
  <c r="T10" i="1"/>
  <c r="J2" i="1"/>
  <c r="K8" i="1"/>
  <c r="J18" i="1"/>
  <c r="F2" i="1"/>
  <c r="H2" i="1" s="1"/>
  <c r="J13" i="1"/>
  <c r="T18" i="1"/>
  <c r="J12" i="1"/>
  <c r="S2" i="1"/>
  <c r="V2" i="1" s="1"/>
  <c r="J11" i="1"/>
  <c r="O9" i="7"/>
  <c r="N9" i="7"/>
  <c r="P9" i="7" s="1"/>
  <c r="N11" i="7"/>
  <c r="P11" i="7" s="1"/>
  <c r="N10" i="7"/>
  <c r="P10" i="7" s="1"/>
  <c r="N8" i="7"/>
  <c r="P8" i="7" s="1"/>
  <c r="O5" i="7"/>
  <c r="Q5" i="7" s="1"/>
  <c r="N5" i="7"/>
  <c r="P5" i="7" s="1"/>
  <c r="N6" i="7"/>
  <c r="P6" i="7" s="1"/>
  <c r="O6" i="7"/>
  <c r="Q6" i="7" s="1"/>
  <c r="L3" i="7"/>
  <c r="J2" i="7"/>
  <c r="L2" i="7" s="1"/>
  <c r="M10" i="7"/>
  <c r="M8" i="7"/>
  <c r="J4" i="7"/>
  <c r="L4" i="7" s="1"/>
  <c r="M6" i="7"/>
  <c r="M5" i="7"/>
  <c r="Q10" i="7"/>
  <c r="Q11" i="7"/>
  <c r="J7" i="7"/>
  <c r="L7" i="7" s="1"/>
  <c r="J9" i="7"/>
  <c r="K9" i="1"/>
  <c r="J16" i="1"/>
  <c r="V9" i="1"/>
  <c r="X9" i="1" s="1"/>
  <c r="J15" i="1"/>
  <c r="J14" i="1"/>
  <c r="K14" i="1" s="1"/>
  <c r="J10" i="1"/>
  <c r="J17" i="1"/>
  <c r="K17" i="1" s="1"/>
  <c r="J57" i="1"/>
  <c r="J52" i="1"/>
  <c r="V13" i="1"/>
  <c r="X13" i="1" s="1"/>
  <c r="J56" i="1"/>
  <c r="J59" i="1"/>
  <c r="V11" i="1"/>
  <c r="X11" i="1" s="1"/>
  <c r="J55" i="1"/>
  <c r="V12" i="1"/>
  <c r="X12" i="1" s="1"/>
  <c r="J54" i="1"/>
  <c r="J53" i="1"/>
  <c r="J58" i="1"/>
  <c r="O17" i="1"/>
  <c r="O16" i="1"/>
  <c r="F17" i="1"/>
  <c r="H17" i="1" s="1"/>
  <c r="F13" i="1"/>
  <c r="H13" i="1" s="1"/>
  <c r="Z23" i="1"/>
  <c r="F12" i="1"/>
  <c r="H12" i="1" s="1"/>
  <c r="Z22" i="1"/>
  <c r="O15" i="1"/>
  <c r="AB18" i="1"/>
  <c r="AB14" i="1"/>
  <c r="O12" i="1"/>
  <c r="O11" i="1"/>
  <c r="O13" i="1"/>
  <c r="F18" i="1"/>
  <c r="H18" i="1" s="1"/>
  <c r="P18" i="1" s="1"/>
  <c r="Q18" i="1" s="1"/>
  <c r="F11" i="1"/>
  <c r="H11" i="1" s="1"/>
  <c r="L21" i="1"/>
  <c r="R21" i="1" s="1"/>
  <c r="S21" i="1" s="1"/>
  <c r="R20" i="1"/>
  <c r="S20" i="1" s="1"/>
  <c r="U14" i="1"/>
  <c r="V14" i="1" s="1"/>
  <c r="X14" i="1" s="1"/>
  <c r="R6" i="1"/>
  <c r="S6" i="1" s="1"/>
  <c r="R8" i="1"/>
  <c r="S8" i="1" s="1"/>
  <c r="Z21" i="1"/>
  <c r="Z19" i="1"/>
  <c r="I25" i="1"/>
  <c r="J25" i="1" s="1"/>
  <c r="Z20" i="1"/>
  <c r="R3" i="1"/>
  <c r="S3" i="1" s="1"/>
  <c r="R19" i="1"/>
  <c r="S19" i="1" s="1"/>
  <c r="O10" i="1"/>
  <c r="I24" i="1"/>
  <c r="J24" i="1" s="1"/>
  <c r="AB2" i="1"/>
  <c r="R4" i="1"/>
  <c r="S4" i="1" s="1"/>
  <c r="R7" i="1"/>
  <c r="S7" i="1" s="1"/>
  <c r="F10" i="1"/>
  <c r="I23" i="1"/>
  <c r="J23" i="1" s="1"/>
  <c r="R5" i="1"/>
  <c r="S5" i="1" s="1"/>
  <c r="I22" i="1"/>
  <c r="J22" i="1" s="1"/>
  <c r="I21" i="1"/>
  <c r="I20" i="1"/>
  <c r="J20" i="1" s="1"/>
  <c r="Z25" i="1"/>
  <c r="Z24" i="1"/>
  <c r="M5" i="1"/>
  <c r="AB5" i="1" s="1"/>
  <c r="M7" i="1"/>
  <c r="AB7" i="1" s="1"/>
  <c r="M9" i="1"/>
  <c r="AB9" i="1" s="1"/>
  <c r="M8" i="1"/>
  <c r="AB8" i="1" s="1"/>
  <c r="N5" i="1"/>
  <c r="F3" i="1"/>
  <c r="E8" i="1"/>
  <c r="E9" i="1" s="1"/>
  <c r="F9" i="1" s="1"/>
  <c r="F7" i="1"/>
  <c r="F4" i="1"/>
  <c r="F6" i="1"/>
  <c r="F14" i="1"/>
  <c r="F16" i="1"/>
  <c r="F15" i="1"/>
  <c r="I4" i="1"/>
  <c r="J4" i="1" s="1"/>
  <c r="I6" i="1"/>
  <c r="J6" i="1" s="1"/>
  <c r="K6" i="1" s="1"/>
  <c r="F5" i="1"/>
  <c r="I3" i="1"/>
  <c r="J3" i="1" s="1"/>
  <c r="K3" i="1" s="1"/>
  <c r="I19" i="1"/>
  <c r="J19" i="1" s="1"/>
  <c r="K19" i="1" s="1"/>
  <c r="X12" i="11" l="1"/>
  <c r="W12" i="11"/>
  <c r="X22" i="11"/>
  <c r="W22" i="11"/>
  <c r="X17" i="11"/>
  <c r="W17" i="11"/>
  <c r="AF4" i="11"/>
  <c r="AE4" i="11"/>
  <c r="AD4" i="11"/>
  <c r="X24" i="11"/>
  <c r="W24" i="11"/>
  <c r="X23" i="11"/>
  <c r="W23" i="11"/>
  <c r="AF9" i="11"/>
  <c r="AE9" i="11"/>
  <c r="AD9" i="11"/>
  <c r="W16" i="11"/>
  <c r="X16" i="11"/>
  <c r="AF3" i="11"/>
  <c r="AE3" i="11"/>
  <c r="AD3" i="11"/>
  <c r="X14" i="11"/>
  <c r="W14" i="11"/>
  <c r="W21" i="11"/>
  <c r="X21" i="11"/>
  <c r="AF10" i="11"/>
  <c r="AE10" i="11"/>
  <c r="AD10" i="11"/>
  <c r="X18" i="11"/>
  <c r="W18" i="11"/>
  <c r="K11" i="1"/>
  <c r="M53" i="1"/>
  <c r="V19" i="1"/>
  <c r="T19" i="1"/>
  <c r="K12" i="1"/>
  <c r="K13" i="1"/>
  <c r="T2" i="1"/>
  <c r="V20" i="1"/>
  <c r="X20" i="1" s="1"/>
  <c r="T20" i="1"/>
  <c r="V21" i="1"/>
  <c r="X21" i="1" s="1"/>
  <c r="T21" i="1"/>
  <c r="N4" i="7"/>
  <c r="O4" i="7"/>
  <c r="O3" i="7"/>
  <c r="Q3" i="7" s="1"/>
  <c r="N3" i="7"/>
  <c r="P3" i="7" s="1"/>
  <c r="I15" i="7"/>
  <c r="N7" i="7"/>
  <c r="O7" i="7"/>
  <c r="M2" i="7"/>
  <c r="N2" i="7"/>
  <c r="P2" i="7" s="1"/>
  <c r="O2" i="7"/>
  <c r="Q2" i="7" s="1"/>
  <c r="P7" i="7"/>
  <c r="M7" i="7"/>
  <c r="M9" i="7"/>
  <c r="M4" i="7"/>
  <c r="P4" i="7"/>
  <c r="Q4" i="7"/>
  <c r="J16" i="7"/>
  <c r="Q9" i="7"/>
  <c r="Q7" i="7"/>
  <c r="V8" i="1"/>
  <c r="X8" i="1" s="1"/>
  <c r="T8" i="1"/>
  <c r="V6" i="1"/>
  <c r="X6" i="1" s="1"/>
  <c r="T6" i="1"/>
  <c r="V5" i="1"/>
  <c r="X5" i="1" s="1"/>
  <c r="T5" i="1"/>
  <c r="V7" i="1"/>
  <c r="X7" i="1" s="1"/>
  <c r="T7" i="1"/>
  <c r="V4" i="1"/>
  <c r="X4" i="1" s="1"/>
  <c r="T4" i="1"/>
  <c r="V3" i="1"/>
  <c r="X3" i="1" s="1"/>
  <c r="T3" i="1"/>
  <c r="K20" i="1"/>
  <c r="J21" i="1"/>
  <c r="K21" i="1" s="1"/>
  <c r="K4" i="1"/>
  <c r="K23" i="1"/>
  <c r="M57" i="1"/>
  <c r="K24" i="1"/>
  <c r="K15" i="1"/>
  <c r="K16" i="1"/>
  <c r="K25" i="1"/>
  <c r="K5" i="1"/>
  <c r="K7" i="1"/>
  <c r="M58" i="1"/>
  <c r="M59" i="1"/>
  <c r="M54" i="1"/>
  <c r="M55" i="1"/>
  <c r="M56" i="1"/>
  <c r="M19" i="1"/>
  <c r="O19" i="1" s="1"/>
  <c r="P19" i="1" s="1"/>
  <c r="Q19" i="1" s="1"/>
  <c r="W19" i="1" s="1"/>
  <c r="X19" i="1"/>
  <c r="M20" i="1"/>
  <c r="O20" i="1" s="1"/>
  <c r="P20" i="1" s="1"/>
  <c r="Q20" i="1" s="1"/>
  <c r="M3" i="1"/>
  <c r="O3" i="1" s="1"/>
  <c r="M4" i="1"/>
  <c r="O4" i="1" s="1"/>
  <c r="M6" i="1"/>
  <c r="AB6" i="1" s="1"/>
  <c r="Z12" i="1"/>
  <c r="AC12" i="1" s="1"/>
  <c r="P12" i="1"/>
  <c r="P13" i="1"/>
  <c r="P17" i="1"/>
  <c r="Z13" i="1"/>
  <c r="AC13" i="1" s="1"/>
  <c r="Z17" i="1"/>
  <c r="AC17" i="1" s="1"/>
  <c r="M21" i="1"/>
  <c r="O21" i="1" s="1"/>
  <c r="P21" i="1" s="1"/>
  <c r="Q21" i="1" s="1"/>
  <c r="Z18" i="1"/>
  <c r="AC18" i="1" s="1"/>
  <c r="P11" i="1"/>
  <c r="L22" i="1"/>
  <c r="R22" i="1" s="1"/>
  <c r="S22" i="1" s="1"/>
  <c r="Z11" i="1"/>
  <c r="AC11" i="1" s="1"/>
  <c r="P2" i="1"/>
  <c r="Q2" i="1" s="1"/>
  <c r="Z2" i="1"/>
  <c r="AC2" i="1" s="1"/>
  <c r="AE2" i="1" s="1"/>
  <c r="H14" i="1"/>
  <c r="P14" i="1" s="1"/>
  <c r="C3" i="10" s="1"/>
  <c r="Z14" i="1"/>
  <c r="AC14" i="1" s="1"/>
  <c r="H6" i="1"/>
  <c r="Z6" i="1"/>
  <c r="U15" i="1"/>
  <c r="V15" i="1" s="1"/>
  <c r="X15" i="1" s="1"/>
  <c r="H3" i="1"/>
  <c r="Z3" i="1"/>
  <c r="H5" i="1"/>
  <c r="Z5" i="1"/>
  <c r="AC5" i="1" s="1"/>
  <c r="H7" i="1"/>
  <c r="Z7" i="1"/>
  <c r="AC7" i="1" s="1"/>
  <c r="H15" i="1"/>
  <c r="P15" i="1" s="1"/>
  <c r="Z15" i="1"/>
  <c r="AC15" i="1" s="1"/>
  <c r="H16" i="1"/>
  <c r="P16" i="1" s="1"/>
  <c r="Z16" i="1"/>
  <c r="AC16" i="1" s="1"/>
  <c r="H10" i="1"/>
  <c r="P10" i="1" s="1"/>
  <c r="Z10" i="1"/>
  <c r="AC10" i="1" s="1"/>
  <c r="AE10" i="1" s="1"/>
  <c r="H4" i="1"/>
  <c r="Z4" i="1"/>
  <c r="H9" i="1"/>
  <c r="Z9" i="1"/>
  <c r="AC9" i="1" s="1"/>
  <c r="N6" i="1"/>
  <c r="O5" i="1"/>
  <c r="F8" i="1"/>
  <c r="K22" i="1" l="1"/>
  <c r="W20" i="1"/>
  <c r="W21" i="1"/>
  <c r="V22" i="1"/>
  <c r="X22" i="1" s="1"/>
  <c r="T22" i="1"/>
  <c r="Q12" i="7"/>
  <c r="O12" i="7"/>
  <c r="N12" i="7"/>
  <c r="AE9" i="1"/>
  <c r="AE16" i="1"/>
  <c r="AD18" i="1"/>
  <c r="AE18" i="1"/>
  <c r="AE15" i="1"/>
  <c r="AE7" i="1"/>
  <c r="AE12" i="1"/>
  <c r="AE11" i="1"/>
  <c r="AF11" i="1"/>
  <c r="AE17" i="1"/>
  <c r="AE13" i="1"/>
  <c r="AF13" i="1"/>
  <c r="AE5" i="1"/>
  <c r="M22" i="1"/>
  <c r="AB22" i="1" s="1"/>
  <c r="AC22" i="1" s="1"/>
  <c r="L23" i="1"/>
  <c r="R23" i="1" s="1"/>
  <c r="S23" i="1" s="1"/>
  <c r="AE14" i="1"/>
  <c r="AC6" i="1"/>
  <c r="AB4" i="1"/>
  <c r="AC4" i="1" s="1"/>
  <c r="AB20" i="1"/>
  <c r="AC20" i="1" s="1"/>
  <c r="AB3" i="1"/>
  <c r="AC3" i="1" s="1"/>
  <c r="AB19" i="1"/>
  <c r="AC19" i="1" s="1"/>
  <c r="P5" i="1"/>
  <c r="Q5" i="1" s="1"/>
  <c r="W5" i="1" s="1"/>
  <c r="P4" i="1"/>
  <c r="Q4" i="1" s="1"/>
  <c r="W4" i="1" s="1"/>
  <c r="AD20" i="1"/>
  <c r="P3" i="1"/>
  <c r="Q3" i="1" s="1"/>
  <c r="W3" i="1" s="1"/>
  <c r="AD19" i="1"/>
  <c r="AB21" i="1"/>
  <c r="AC21" i="1" s="1"/>
  <c r="U16" i="1"/>
  <c r="V16" i="1" s="1"/>
  <c r="X16" i="1" s="1"/>
  <c r="H8" i="1"/>
  <c r="Z8" i="1"/>
  <c r="AC8" i="1" s="1"/>
  <c r="AD13" i="1"/>
  <c r="AD14" i="1"/>
  <c r="AD15" i="1"/>
  <c r="AD16" i="1"/>
  <c r="AD17" i="1"/>
  <c r="AD12" i="1"/>
  <c r="AD10" i="1"/>
  <c r="AD11" i="1"/>
  <c r="Q12" i="1"/>
  <c r="W12" i="1" s="1"/>
  <c r="Q13" i="1"/>
  <c r="W13" i="1" s="1"/>
  <c r="Q11" i="1"/>
  <c r="W11" i="1" s="1"/>
  <c r="Q14" i="1"/>
  <c r="W14" i="1" s="1"/>
  <c r="Q15" i="1"/>
  <c r="W15" i="1" s="1"/>
  <c r="Q16" i="1"/>
  <c r="AF16" i="1" s="1"/>
  <c r="Q17" i="1"/>
  <c r="AF17" i="1" s="1"/>
  <c r="Q10" i="1"/>
  <c r="AD2" i="1"/>
  <c r="AD7" i="1"/>
  <c r="AD5" i="1"/>
  <c r="AD9" i="1"/>
  <c r="L24" i="1"/>
  <c r="R24" i="1" s="1"/>
  <c r="S24" i="1" s="1"/>
  <c r="O6" i="1"/>
  <c r="P6" i="1" s="1"/>
  <c r="Q6" i="1" s="1"/>
  <c r="W6" i="1" s="1"/>
  <c r="N7" i="1"/>
  <c r="AF12" i="1" l="1"/>
  <c r="M23" i="1"/>
  <c r="O22" i="1"/>
  <c r="P22" i="1" s="1"/>
  <c r="Q22" i="1" s="1"/>
  <c r="W22" i="1" s="1"/>
  <c r="V24" i="1"/>
  <c r="X24" i="1" s="1"/>
  <c r="T24" i="1"/>
  <c r="V23" i="1"/>
  <c r="X23" i="1" s="1"/>
  <c r="T23" i="1"/>
  <c r="Q13" i="7"/>
  <c r="N13" i="7"/>
  <c r="AF5" i="1"/>
  <c r="AE8" i="1"/>
  <c r="AD21" i="1"/>
  <c r="AF21" i="1"/>
  <c r="AE21" i="1"/>
  <c r="AD3" i="1"/>
  <c r="AF3" i="1"/>
  <c r="AE3" i="1"/>
  <c r="AF19" i="1"/>
  <c r="AE19" i="1"/>
  <c r="AF20" i="1"/>
  <c r="AE20" i="1"/>
  <c r="AF15" i="1"/>
  <c r="AD4" i="1"/>
  <c r="AE4" i="1"/>
  <c r="AF4" i="1"/>
  <c r="AD6" i="1"/>
  <c r="AF6" i="1"/>
  <c r="AE6" i="1"/>
  <c r="AF14" i="1"/>
  <c r="AD8" i="1"/>
  <c r="AD22" i="1"/>
  <c r="AE22" i="1"/>
  <c r="AF22" i="1"/>
  <c r="W16" i="1"/>
  <c r="O23" i="1"/>
  <c r="P23" i="1" s="1"/>
  <c r="Q23" i="1" s="1"/>
  <c r="W23" i="1" s="1"/>
  <c r="AB23" i="1"/>
  <c r="AC23" i="1" s="1"/>
  <c r="U17" i="1"/>
  <c r="V17" i="1" s="1"/>
  <c r="X17" i="1" s="1"/>
  <c r="L25" i="1"/>
  <c r="M24" i="1"/>
  <c r="N8" i="1"/>
  <c r="O7" i="1"/>
  <c r="P7" i="1" s="1"/>
  <c r="Q7" i="1" s="1"/>
  <c r="AD23" i="1" l="1"/>
  <c r="AF23" i="1"/>
  <c r="AE23" i="1"/>
  <c r="W7" i="1"/>
  <c r="AF7" i="1"/>
  <c r="W17" i="1"/>
  <c r="O24" i="1"/>
  <c r="P24" i="1" s="1"/>
  <c r="Q24" i="1" s="1"/>
  <c r="W24" i="1" s="1"/>
  <c r="AB24" i="1"/>
  <c r="AC24" i="1" s="1"/>
  <c r="M25" i="1"/>
  <c r="R25" i="1"/>
  <c r="S25" i="1" s="1"/>
  <c r="O8" i="1"/>
  <c r="P8" i="1" s="1"/>
  <c r="Q8" i="1" s="1"/>
  <c r="N9" i="1"/>
  <c r="O9" i="1" s="1"/>
  <c r="P9" i="1" s="1"/>
  <c r="Q9" i="1" s="1"/>
  <c r="V25" i="1" l="1"/>
  <c r="X25" i="1" s="1"/>
  <c r="T25" i="1"/>
  <c r="W9" i="1"/>
  <c r="AF9" i="1"/>
  <c r="AD24" i="1"/>
  <c r="AF24" i="1"/>
  <c r="AE24" i="1"/>
  <c r="W8" i="1"/>
  <c r="AF8" i="1"/>
  <c r="O25" i="1"/>
  <c r="P25" i="1" s="1"/>
  <c r="Q25" i="1" s="1"/>
  <c r="W25" i="1" s="1"/>
  <c r="AB25" i="1"/>
  <c r="AC25" i="1" s="1"/>
  <c r="AD25" i="1" l="1"/>
  <c r="AF25" i="1"/>
  <c r="AE25" i="1"/>
</calcChain>
</file>

<file path=xl/sharedStrings.xml><?xml version="1.0" encoding="utf-8"?>
<sst xmlns="http://schemas.openxmlformats.org/spreadsheetml/2006/main" count="472" uniqueCount="141">
  <si>
    <t>VMT</t>
  </si>
  <si>
    <t>LDV</t>
  </si>
  <si>
    <t>Vehicles</t>
  </si>
  <si>
    <t>Average Miles</t>
  </si>
  <si>
    <t>Miles Per Gallon</t>
  </si>
  <si>
    <t>VMT (B)</t>
  </si>
  <si>
    <t>Gallons (B)</t>
  </si>
  <si>
    <t>Carbon Intensity (kg CO2 / gallon)</t>
  </si>
  <si>
    <t>Buses</t>
  </si>
  <si>
    <t>SU Truck</t>
  </si>
  <si>
    <t>Combination Truck</t>
  </si>
  <si>
    <t>Emissions (M tons CO2)</t>
  </si>
  <si>
    <t>Worst</t>
  </si>
  <si>
    <t>EV</t>
  </si>
  <si>
    <t>MPG</t>
  </si>
  <si>
    <t>Average</t>
  </si>
  <si>
    <t>Best</t>
  </si>
  <si>
    <t>Gas VMT (B)</t>
  </si>
  <si>
    <t>Gas Emissions (M tons CO2)</t>
  </si>
  <si>
    <t>mi / kWh</t>
  </si>
  <si>
    <t>Electric VMT (B)</t>
  </si>
  <si>
    <t>Electricity (TWh)</t>
  </si>
  <si>
    <t>Carbon Intensity g CO2 / kWh</t>
  </si>
  <si>
    <t>Electricity Emissions (M t CO2)</t>
  </si>
  <si>
    <t>Total Emissions (M t CO2)</t>
  </si>
  <si>
    <t>CO2 Saved (M t CO2)</t>
  </si>
  <si>
    <t>Installed Battery (TWh)</t>
  </si>
  <si>
    <t>Average Battery Size (kWh)</t>
  </si>
  <si>
    <t>Cost / kWh</t>
  </si>
  <si>
    <t>$ / kWh</t>
  </si>
  <si>
    <t>$ B OC Gas</t>
  </si>
  <si>
    <t>$B ELC Savings</t>
  </si>
  <si>
    <t>$ / gallon</t>
  </si>
  <si>
    <t>Commercial Aviation</t>
  </si>
  <si>
    <t>General Aviation</t>
  </si>
  <si>
    <t>Military Aviation</t>
  </si>
  <si>
    <t>Ships and Boats</t>
  </si>
  <si>
    <t>Rail</t>
  </si>
  <si>
    <t>Rec Boats</t>
  </si>
  <si>
    <t>Other Diesel Boats</t>
  </si>
  <si>
    <t>Aviation Fuel Aviation</t>
  </si>
  <si>
    <t>Rec Boats (Gas)</t>
  </si>
  <si>
    <t>All Watercraft</t>
  </si>
  <si>
    <t>All Aircraft</t>
  </si>
  <si>
    <t>Non Transport Vehicles</t>
  </si>
  <si>
    <t>Pipelines</t>
  </si>
  <si>
    <t>Lubricants</t>
  </si>
  <si>
    <t>Lifespan</t>
  </si>
  <si>
    <t>Parameters</t>
  </si>
  <si>
    <t>CO2 per Gallon of Gasoline</t>
  </si>
  <si>
    <t>CO2 per Gallon of Diesel</t>
  </si>
  <si>
    <t>Average US Grid CO2 Intensity</t>
  </si>
  <si>
    <t>Average Retail Electricity Price</t>
  </si>
  <si>
    <t>Average Gasoline Price</t>
  </si>
  <si>
    <t>Average VMT per Year</t>
  </si>
  <si>
    <t>EV Energy Use per Mile</t>
  </si>
  <si>
    <t>Average VMT per Driver per Year</t>
  </si>
  <si>
    <t>Vehicle Count</t>
  </si>
  <si>
    <t>Value (Worst / Average / Best)</t>
  </si>
  <si>
    <t>Source</t>
  </si>
  <si>
    <t>18 / 26.4 / 36 mpg</t>
  </si>
  <si>
    <t>Average Fuel Economy</t>
  </si>
  <si>
    <t>8.888 kg / CO2</t>
  </si>
  <si>
    <t>$2 / $3 / $5</t>
  </si>
  <si>
    <t>Total VMT (B, 2023)</t>
  </si>
  <si>
    <t>2.9 / 3.6 / 4.2 mi / kWh</t>
  </si>
  <si>
    <t>EV Average Fuel Economy</t>
  </si>
  <si>
    <t>97.75 / 121.3 / 141.6 mpge</t>
  </si>
  <si>
    <t>10.18 kg / CO2</t>
  </si>
  <si>
    <t>125 / 348 / 714 g CO2 / kWh</t>
  </si>
  <si>
    <t>$0.15 /$ 0.25 / $0.40 / kWh</t>
  </si>
  <si>
    <t>Scenario</t>
  </si>
  <si>
    <t>Vehicle Type</t>
  </si>
  <si>
    <t>ICE</t>
  </si>
  <si>
    <t>LDV (75-mile EV range)</t>
  </si>
  <si>
    <t>LDV (50-mile EV range)</t>
  </si>
  <si>
    <t>LDV (25-mile EV range)</t>
  </si>
  <si>
    <t>LDV (100-mile EV range)</t>
  </si>
  <si>
    <t>LDV (125-mile EV range)</t>
  </si>
  <si>
    <t>LDV (150-mile EV range)</t>
  </si>
  <si>
    <t>N/A</t>
  </si>
  <si>
    <t>$ CAPEX / kg CO2</t>
  </si>
  <si>
    <t>$ CAPEX / EV Mile</t>
  </si>
  <si>
    <t>$B OC ELC</t>
  </si>
  <si>
    <t>$T Installed Battery</t>
  </si>
  <si>
    <t>% Electric</t>
  </si>
  <si>
    <t>% Increase Change</t>
  </si>
  <si>
    <t>$ OC / VMT</t>
  </si>
  <si>
    <t>% EV VMT</t>
  </si>
  <si>
    <t>% Increase</t>
  </si>
  <si>
    <t>CO2 Saved (Mt CO2)</t>
  </si>
  <si>
    <t>$B  OC Total</t>
  </si>
  <si>
    <t>$OC / kg CO2</t>
  </si>
  <si>
    <t>$OPEX / kg CO2</t>
  </si>
  <si>
    <t>$ OPEX / VMT</t>
  </si>
  <si>
    <t>$ OPEX</t>
  </si>
  <si>
    <t>Electricity Emissions (Mt CO2)</t>
  </si>
  <si>
    <t>Installed Battery (Wh) / mile</t>
  </si>
  <si>
    <t>Installed Battery $T</t>
  </si>
  <si>
    <t>286 M</t>
  </si>
  <si>
    <t>Emissions B tons CO2</t>
  </si>
  <si>
    <t>Aircraft</t>
  </si>
  <si>
    <t xml:space="preserve">SU Truck </t>
  </si>
  <si>
    <t>Pipeline</t>
  </si>
  <si>
    <t>Watercraft</t>
  </si>
  <si>
    <t>EREV 100 mi (nat. avgs.)</t>
  </si>
  <si>
    <t>Ordered Subsectors</t>
  </si>
  <si>
    <t>Trip Distance Bin (miles)</t>
  </si>
  <si>
    <t>Trips (B/year)</t>
  </si>
  <si>
    <t>Trips (B / month)</t>
  </si>
  <si>
    <t>Drivers</t>
  </si>
  <si>
    <t>Trips/Driver/month</t>
  </si>
  <si>
    <t>Trips / Week</t>
  </si>
  <si>
    <t>Trips/HH/week (derived)</t>
  </si>
  <si>
    <t>Trips / HH / week</t>
  </si>
  <si>
    <t>0-1</t>
  </si>
  <si>
    <t>1-3</t>
  </si>
  <si>
    <t>3-5</t>
  </si>
  <si>
    <t>5-10</t>
  </si>
  <si>
    <t>10-25</t>
  </si>
  <si>
    <t>25-50</t>
  </si>
  <si>
    <t>50-100</t>
  </si>
  <si>
    <t>100-250</t>
  </si>
  <si>
    <t>250+500</t>
  </si>
  <si>
    <t>500+</t>
  </si>
  <si>
    <t>Gas VMT</t>
  </si>
  <si>
    <t>ELC VMT</t>
  </si>
  <si>
    <t>Range</t>
  </si>
  <si>
    <t>Charge Freq</t>
  </si>
  <si>
    <t>EV VMT Difference</t>
  </si>
  <si>
    <t>Scenario EV VMT</t>
  </si>
  <si>
    <t>Gas VMT / HH</t>
  </si>
  <si>
    <t>ELC VMT / HH</t>
  </si>
  <si>
    <t>Households (MM)</t>
  </si>
  <si>
    <t>Trips / HH / year</t>
  </si>
  <si>
    <t>True VMT</t>
  </si>
  <si>
    <t>VMT / HH (Calc)</t>
  </si>
  <si>
    <t>VMT / HH (True)</t>
  </si>
  <si>
    <t xml:space="preserve">VMT / HH </t>
  </si>
  <si>
    <t>VMT (Bin Calc)</t>
  </si>
  <si>
    <t>Round Trips / 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</si>
</sst>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_(&quot;$&quot;* #,##0.000_);_(&quot;$&quot;* \(#,##0.000\);_(&quot;$&quot;* &quot;-&quot;??_);_(@_)"/>
    <numFmt numFmtId="168" formatCode="0.000"/>
    <numFmt numFmtId="169" formatCode="0.0%"/>
    <numFmt numFmtId="170" formatCode="_(* #,##0_);_(* \(#,##0\);_(* &quot;-&quot;??_);_(@_)"/>
    <numFmt numFmtId="171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3">
    <xf numFmtId="0" fontId="0" fillId="0" borderId="0" xfId="0"/>
    <xf numFmtId="2" fontId="0" fillId="0" borderId="0" xfId="0" applyNumberFormat="1"/>
    <xf numFmtId="166" fontId="0" fillId="0" borderId="0" xfId="0" applyNumberFormat="1"/>
    <xf numFmtId="0" fontId="0" fillId="2" borderId="0" xfId="0" applyFill="1"/>
    <xf numFmtId="2" fontId="0" fillId="3" borderId="0" xfId="0" applyNumberFormat="1" applyFill="1"/>
    <xf numFmtId="0" fontId="0" fillId="3" borderId="0" xfId="0" applyFill="1"/>
    <xf numFmtId="2" fontId="0" fillId="2" borderId="0" xfId="0" applyNumberFormat="1" applyFill="1"/>
    <xf numFmtId="0" fontId="0" fillId="0" borderId="0" xfId="0" applyFill="1"/>
    <xf numFmtId="167" fontId="0" fillId="0" borderId="0" xfId="1" applyNumberFormat="1" applyFont="1"/>
    <xf numFmtId="0" fontId="2" fillId="0" borderId="0" xfId="0" applyFont="1"/>
    <xf numFmtId="167" fontId="0" fillId="0" borderId="0" xfId="1" applyNumberFormat="1" applyFont="1" applyAlignment="1">
      <alignment horizontal="center"/>
    </xf>
    <xf numFmtId="168" fontId="0" fillId="0" borderId="0" xfId="0" applyNumberFormat="1"/>
    <xf numFmtId="169" fontId="0" fillId="0" borderId="0" xfId="2" applyNumberFormat="1" applyFont="1"/>
    <xf numFmtId="164" fontId="0" fillId="0" borderId="0" xfId="1" applyFont="1"/>
    <xf numFmtId="164" fontId="0" fillId="0" borderId="0" xfId="1" applyNumberFormat="1" applyFont="1"/>
    <xf numFmtId="2" fontId="0" fillId="0" borderId="0" xfId="0" applyNumberFormat="1" applyFill="1"/>
    <xf numFmtId="166" fontId="0" fillId="0" borderId="0" xfId="0" applyNumberFormat="1" applyFill="1"/>
    <xf numFmtId="164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0" borderId="0" xfId="0" applyFont="1" applyFill="1"/>
    <xf numFmtId="167" fontId="0" fillId="0" borderId="0" xfId="1" applyNumberFormat="1" applyFont="1" applyFill="1" applyAlignment="1">
      <alignment horizontal="center"/>
    </xf>
    <xf numFmtId="167" fontId="0" fillId="0" borderId="0" xfId="1" applyNumberFormat="1" applyFont="1" applyFill="1"/>
    <xf numFmtId="164" fontId="0" fillId="0" borderId="0" xfId="1" applyNumberFormat="1" applyFont="1" applyFill="1" applyAlignment="1">
      <alignment horizontal="center"/>
    </xf>
    <xf numFmtId="168" fontId="0" fillId="0" borderId="0" xfId="0" applyNumberFormat="1" applyFill="1"/>
    <xf numFmtId="164" fontId="0" fillId="0" borderId="0" xfId="1" applyNumberFormat="1" applyFont="1" applyFill="1"/>
    <xf numFmtId="0" fontId="2" fillId="0" borderId="1" xfId="0" applyFont="1" applyBorder="1"/>
    <xf numFmtId="0" fontId="0" fillId="0" borderId="1" xfId="0" applyBorder="1"/>
    <xf numFmtId="168" fontId="0" fillId="0" borderId="1" xfId="0" applyNumberFormat="1" applyBorder="1"/>
    <xf numFmtId="0" fontId="0" fillId="4" borderId="0" xfId="0" applyFill="1"/>
    <xf numFmtId="0" fontId="0" fillId="0" borderId="0" xfId="0" quotePrefix="1" applyFill="1"/>
    <xf numFmtId="171" fontId="0" fillId="0" borderId="0" xfId="0" applyNumberFormat="1" applyFill="1"/>
    <xf numFmtId="170" fontId="0" fillId="0" borderId="0" xfId="3" applyNumberFormat="1" applyFont="1" applyFill="1"/>
    <xf numFmtId="16" fontId="0" fillId="0" borderId="0" xfId="0" quotePrefix="1" applyNumberFormat="1" applyFill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1"/>
  <sheetViews>
    <sheetView topLeftCell="S1" zoomScale="80" zoomScaleNormal="80" workbookViewId="0">
      <selection activeCell="D33" sqref="D33"/>
    </sheetView>
  </sheetViews>
  <sheetFormatPr defaultRowHeight="13.8" x14ac:dyDescent="0.25"/>
  <cols>
    <col min="3" max="3" width="20.3984375" bestFit="1" customWidth="1"/>
    <col min="4" max="4" width="16" customWidth="1"/>
    <col min="5" max="5" width="17.09765625" customWidth="1"/>
    <col min="6" max="7" width="20.8984375" customWidth="1"/>
    <col min="8" max="8" width="29.3984375" customWidth="1"/>
    <col min="9" max="9" width="43.8984375" customWidth="1"/>
    <col min="10" max="12" width="36.69921875" customWidth="1"/>
    <col min="13" max="13" width="22" bestFit="1" customWidth="1"/>
    <col min="14" max="14" width="20.296875" bestFit="1" customWidth="1"/>
    <col min="15" max="15" width="25.3984375" bestFit="1" customWidth="1"/>
    <col min="16" max="16" width="25.8984375" bestFit="1" customWidth="1"/>
    <col min="17" max="17" width="24.3984375" customWidth="1"/>
    <col min="18" max="18" width="34" customWidth="1"/>
    <col min="19" max="19" width="34.09765625" customWidth="1"/>
    <col min="20" max="20" width="21.09765625" bestFit="1" customWidth="1"/>
    <col min="21" max="21" width="21.09765625" customWidth="1"/>
    <col min="22" max="22" width="9.59765625" bestFit="1" customWidth="1"/>
    <col min="23" max="23" width="16.3984375" bestFit="1" customWidth="1"/>
    <col min="24" max="24" width="15.8984375" customWidth="1"/>
    <col min="25" max="25" width="19.09765625" bestFit="1" customWidth="1"/>
    <col min="26" max="26" width="10.69921875" customWidth="1"/>
    <col min="27" max="27" width="11.8984375" bestFit="1" customWidth="1"/>
    <col min="29" max="29" width="11.8984375" bestFit="1" customWidth="1"/>
    <col min="30" max="30" width="11.3984375" bestFit="1" customWidth="1"/>
    <col min="31" max="31" width="13" bestFit="1" customWidth="1"/>
    <col min="33" max="33" width="10" bestFit="1" customWidth="1"/>
  </cols>
  <sheetData>
    <row r="1" spans="1:32" x14ac:dyDescent="0.25">
      <c r="A1" t="s">
        <v>71</v>
      </c>
      <c r="B1" s="7" t="s">
        <v>72</v>
      </c>
      <c r="C1" t="s">
        <v>0</v>
      </c>
      <c r="D1" t="s">
        <v>17</v>
      </c>
      <c r="E1" t="s">
        <v>14</v>
      </c>
      <c r="F1" t="s">
        <v>6</v>
      </c>
      <c r="G1" t="s">
        <v>7</v>
      </c>
      <c r="H1" t="s">
        <v>18</v>
      </c>
      <c r="I1" t="s">
        <v>20</v>
      </c>
      <c r="J1" t="s">
        <v>85</v>
      </c>
      <c r="K1" t="s">
        <v>86</v>
      </c>
      <c r="L1" t="s">
        <v>19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27</v>
      </c>
      <c r="S1" t="s">
        <v>26</v>
      </c>
      <c r="T1" t="s">
        <v>97</v>
      </c>
      <c r="U1" t="s">
        <v>28</v>
      </c>
      <c r="V1" t="s">
        <v>84</v>
      </c>
      <c r="W1" t="s">
        <v>81</v>
      </c>
      <c r="X1" t="s">
        <v>82</v>
      </c>
      <c r="Y1" t="s">
        <v>32</v>
      </c>
      <c r="Z1" t="s">
        <v>30</v>
      </c>
      <c r="AA1" t="s">
        <v>29</v>
      </c>
      <c r="AB1" t="s">
        <v>83</v>
      </c>
      <c r="AC1" t="s">
        <v>91</v>
      </c>
      <c r="AD1" t="s">
        <v>31</v>
      </c>
      <c r="AE1" t="s">
        <v>87</v>
      </c>
      <c r="AF1" t="s">
        <v>92</v>
      </c>
    </row>
    <row r="2" spans="1:32" x14ac:dyDescent="0.25">
      <c r="A2" t="s">
        <v>12</v>
      </c>
      <c r="B2" t="s">
        <v>73</v>
      </c>
      <c r="C2" s="2">
        <v>3262.8</v>
      </c>
      <c r="D2" s="6">
        <f>C2*1</f>
        <v>3262.8</v>
      </c>
      <c r="E2" s="4">
        <v>36</v>
      </c>
      <c r="F2" s="1">
        <f t="shared" ref="F2:F25" si="0">D2/E2</f>
        <v>90.63333333333334</v>
      </c>
      <c r="G2" s="1">
        <v>8.8879999999999999</v>
      </c>
      <c r="H2" s="1">
        <f t="shared" ref="H2:H25" si="1">F2*G2</f>
        <v>805.5490666666667</v>
      </c>
      <c r="I2" s="2">
        <f t="shared" ref="I2:I25" si="2">C2-D2</f>
        <v>0</v>
      </c>
      <c r="J2" s="12">
        <f t="shared" ref="J2:J25" si="3">I2/C2</f>
        <v>0</v>
      </c>
      <c r="K2" s="12"/>
      <c r="L2" s="5">
        <v>2.9</v>
      </c>
      <c r="M2" s="2">
        <f t="shared" ref="M2:M25" si="4">I2/L2</f>
        <v>0</v>
      </c>
      <c r="N2" s="5">
        <v>714</v>
      </c>
      <c r="O2" s="2">
        <f>M2*N2*1000</f>
        <v>0</v>
      </c>
      <c r="P2" s="2">
        <f t="shared" ref="P2:P25" si="5">O2+H2</f>
        <v>805.5490666666667</v>
      </c>
      <c r="Q2" s="2">
        <f t="shared" ref="Q2:Q9" si="6">$P$2-P2</f>
        <v>0</v>
      </c>
      <c r="R2" s="2">
        <f>0/L2</f>
        <v>0</v>
      </c>
      <c r="S2" s="2">
        <f>R2*Rough1!$B$25/1000000/1000</f>
        <v>0</v>
      </c>
      <c r="T2" s="11">
        <f t="shared" ref="T2:T25" si="7">S2/C2*1000</f>
        <v>0</v>
      </c>
      <c r="U2" s="5">
        <v>150</v>
      </c>
      <c r="V2" s="2">
        <f t="shared" ref="V2:V25" si="8">S2*U2/1000</f>
        <v>0</v>
      </c>
      <c r="W2" s="10" t="s">
        <v>80</v>
      </c>
      <c r="X2" s="10" t="s">
        <v>80</v>
      </c>
      <c r="Y2" s="4">
        <v>2</v>
      </c>
      <c r="Z2" s="1">
        <f t="shared" ref="Z2:Z25" si="9">Y2*F2</f>
        <v>181.26666666666668</v>
      </c>
      <c r="AA2" s="4">
        <v>0.4</v>
      </c>
      <c r="AB2" s="1">
        <f t="shared" ref="AB2:AB25" si="10">AA2*M2</f>
        <v>0</v>
      </c>
      <c r="AC2" s="1">
        <f t="shared" ref="AC2:AC25" si="11">AB2+Z2</f>
        <v>181.26666666666668</v>
      </c>
      <c r="AD2" s="1">
        <f t="shared" ref="AD2:AD9" si="12">$AC$2-AC2</f>
        <v>0</v>
      </c>
      <c r="AE2" s="8">
        <f t="shared" ref="AE2:AE25" si="13">AC2/C2</f>
        <v>5.5555555555555559E-2</v>
      </c>
      <c r="AF2" s="18" t="s">
        <v>80</v>
      </c>
    </row>
    <row r="3" spans="1:32" x14ac:dyDescent="0.25">
      <c r="A3" t="s">
        <v>12</v>
      </c>
      <c r="B3" t="s">
        <v>76</v>
      </c>
      <c r="C3" s="2">
        <v>3262.8</v>
      </c>
      <c r="D3" s="6">
        <v>1326.0507419999999</v>
      </c>
      <c r="E3" s="4">
        <f t="shared" ref="E3:E9" si="14">E2</f>
        <v>36</v>
      </c>
      <c r="F3" s="1">
        <f t="shared" si="0"/>
        <v>36.83474283333333</v>
      </c>
      <c r="G3" s="1">
        <v>8.8879999999999999</v>
      </c>
      <c r="H3" s="1">
        <f t="shared" si="1"/>
        <v>327.38719430266661</v>
      </c>
      <c r="I3" s="2">
        <f t="shared" si="2"/>
        <v>1936.7492580000003</v>
      </c>
      <c r="J3" s="12">
        <f t="shared" si="3"/>
        <v>0.59358503677822738</v>
      </c>
      <c r="K3" s="12">
        <f t="shared" ref="K3:K9" si="15">J3-J2</f>
        <v>0.59358503677822738</v>
      </c>
      <c r="L3" s="5">
        <f t="shared" ref="L3:L9" si="16">L2</f>
        <v>2.9</v>
      </c>
      <c r="M3" s="2">
        <f t="shared" si="4"/>
        <v>667.84457172413806</v>
      </c>
      <c r="N3" s="5">
        <f t="shared" ref="N3:N9" si="17">N2</f>
        <v>714</v>
      </c>
      <c r="O3" s="2">
        <f t="shared" ref="O3:O25" si="18">M3*N3*1000/1000000</f>
        <v>476.84102421103461</v>
      </c>
      <c r="P3" s="2">
        <f t="shared" si="5"/>
        <v>804.22821851370122</v>
      </c>
      <c r="Q3" s="2">
        <f t="shared" si="6"/>
        <v>1.3208481529654819</v>
      </c>
      <c r="R3" s="2">
        <f>25/L3</f>
        <v>8.6206896551724146</v>
      </c>
      <c r="S3" s="2">
        <f>R3*Rough1!$B$25/1000000/1000</f>
        <v>2.2219070431034482</v>
      </c>
      <c r="T3" s="11">
        <f t="shared" si="7"/>
        <v>0.68098168539397086</v>
      </c>
      <c r="U3" s="5">
        <f t="shared" ref="U3:U9" si="19">U2</f>
        <v>150</v>
      </c>
      <c r="V3" s="2">
        <f t="shared" si="8"/>
        <v>0.33328605646551723</v>
      </c>
      <c r="W3" s="11">
        <f>V3/(Q3*Rough1!$B$26)*1000</f>
        <v>25.232730629727968</v>
      </c>
      <c r="X3" s="8">
        <f>V3/(I3*Rough1!$B$26)*1000</f>
        <v>1.7208528935216311E-2</v>
      </c>
      <c r="Y3" s="4">
        <v>2</v>
      </c>
      <c r="Z3" s="1">
        <f t="shared" si="9"/>
        <v>73.66948566666666</v>
      </c>
      <c r="AA3" s="4">
        <v>0.4</v>
      </c>
      <c r="AB3" s="1">
        <f t="shared" si="10"/>
        <v>267.13782868965524</v>
      </c>
      <c r="AC3" s="1">
        <f t="shared" si="11"/>
        <v>340.80731435632191</v>
      </c>
      <c r="AD3" s="1">
        <f t="shared" si="12"/>
        <v>-159.54064768965523</v>
      </c>
      <c r="AE3" s="8">
        <f t="shared" si="13"/>
        <v>0.10445240724418349</v>
      </c>
      <c r="AF3" s="14">
        <f t="shared" ref="AF3:AF9" si="20">AC3/Q3</f>
        <v>258.02157014881965</v>
      </c>
    </row>
    <row r="4" spans="1:32" x14ac:dyDescent="0.25">
      <c r="A4" t="s">
        <v>12</v>
      </c>
      <c r="B4" t="s">
        <v>75</v>
      </c>
      <c r="C4" s="2">
        <v>3262.8</v>
      </c>
      <c r="D4" s="6">
        <v>871.73126999999999</v>
      </c>
      <c r="E4" s="4">
        <f t="shared" si="14"/>
        <v>36</v>
      </c>
      <c r="F4" s="1">
        <f t="shared" si="0"/>
        <v>24.214757500000001</v>
      </c>
      <c r="G4" s="1">
        <v>8.8879999999999999</v>
      </c>
      <c r="H4" s="1">
        <f t="shared" si="1"/>
        <v>215.22076466000001</v>
      </c>
      <c r="I4" s="2">
        <f t="shared" si="2"/>
        <v>2391.06873</v>
      </c>
      <c r="J4" s="12">
        <f t="shared" si="3"/>
        <v>0.73282724347186456</v>
      </c>
      <c r="K4" s="12">
        <f t="shared" si="15"/>
        <v>0.13924220669363718</v>
      </c>
      <c r="L4" s="5">
        <f t="shared" si="16"/>
        <v>2.9</v>
      </c>
      <c r="M4" s="2">
        <f t="shared" si="4"/>
        <v>824.50645862068961</v>
      </c>
      <c r="N4" s="5">
        <f t="shared" si="17"/>
        <v>714</v>
      </c>
      <c r="O4" s="2">
        <f t="shared" si="18"/>
        <v>588.69761145517236</v>
      </c>
      <c r="P4" s="2">
        <f t="shared" si="5"/>
        <v>803.91837611517235</v>
      </c>
      <c r="Q4" s="2">
        <f t="shared" si="6"/>
        <v>1.6306905514943537</v>
      </c>
      <c r="R4" s="2">
        <f>50/L4</f>
        <v>17.241379310344829</v>
      </c>
      <c r="S4" s="2">
        <f>R4*Rough1!$B$25/1000000/1000</f>
        <v>4.4438140862068964</v>
      </c>
      <c r="T4" s="11">
        <f t="shared" si="7"/>
        <v>1.3619633707879417</v>
      </c>
      <c r="U4" s="5">
        <f t="shared" si="19"/>
        <v>150</v>
      </c>
      <c r="V4" s="2">
        <f t="shared" si="8"/>
        <v>0.66657211293103447</v>
      </c>
      <c r="W4" s="11">
        <f>V4/(Q4*Rough1!$B$26)*1000</f>
        <v>40.876677204034344</v>
      </c>
      <c r="X4" s="8">
        <f>V4/(I4*Rough1!$B$26)*1000</f>
        <v>2.787758062191021E-2</v>
      </c>
      <c r="Y4" s="4">
        <v>2</v>
      </c>
      <c r="Z4" s="1">
        <f t="shared" si="9"/>
        <v>48.429515000000002</v>
      </c>
      <c r="AA4" s="4">
        <v>0.4</v>
      </c>
      <c r="AB4" s="1">
        <f t="shared" si="10"/>
        <v>329.80258344827587</v>
      </c>
      <c r="AC4" s="1">
        <f t="shared" si="11"/>
        <v>378.23209844827585</v>
      </c>
      <c r="AD4" s="1">
        <f t="shared" si="12"/>
        <v>-196.96543178160917</v>
      </c>
      <c r="AE4" s="8">
        <f t="shared" si="13"/>
        <v>0.11592255070745244</v>
      </c>
      <c r="AF4" s="14">
        <f t="shared" si="20"/>
        <v>231.94596798372723</v>
      </c>
    </row>
    <row r="5" spans="1:32" x14ac:dyDescent="0.25">
      <c r="A5" t="s">
        <v>12</v>
      </c>
      <c r="B5" t="s">
        <v>74</v>
      </c>
      <c r="C5" s="2">
        <v>3262.8</v>
      </c>
      <c r="D5" s="6">
        <v>711.79192</v>
      </c>
      <c r="E5" s="4">
        <f t="shared" si="14"/>
        <v>36</v>
      </c>
      <c r="F5" s="1">
        <f t="shared" si="0"/>
        <v>19.771997777777777</v>
      </c>
      <c r="G5" s="1">
        <v>8.8879999999999999</v>
      </c>
      <c r="H5" s="1">
        <f t="shared" si="1"/>
        <v>175.73351624888889</v>
      </c>
      <c r="I5" s="2">
        <f t="shared" si="2"/>
        <v>2551.0080800000001</v>
      </c>
      <c r="J5" s="12">
        <f t="shared" si="3"/>
        <v>0.78184629152874829</v>
      </c>
      <c r="K5" s="12">
        <f t="shared" si="15"/>
        <v>4.9019048056883729E-2</v>
      </c>
      <c r="L5" s="5">
        <f t="shared" si="16"/>
        <v>2.9</v>
      </c>
      <c r="M5" s="2">
        <f t="shared" si="4"/>
        <v>879.65795862068967</v>
      </c>
      <c r="N5" s="5">
        <f t="shared" si="17"/>
        <v>714</v>
      </c>
      <c r="O5" s="2">
        <f t="shared" si="18"/>
        <v>628.07578245517243</v>
      </c>
      <c r="P5" s="2">
        <f t="shared" si="5"/>
        <v>803.80929870406135</v>
      </c>
      <c r="Q5" s="2">
        <f t="shared" si="6"/>
        <v>1.7397679626053559</v>
      </c>
      <c r="R5" s="2">
        <f>75/L5</f>
        <v>25.862068965517242</v>
      </c>
      <c r="S5" s="2">
        <f>R5*Rough1!$B$25/1000000/1000</f>
        <v>6.6657211293103442</v>
      </c>
      <c r="T5" s="11">
        <f t="shared" si="7"/>
        <v>2.0429450561819125</v>
      </c>
      <c r="U5" s="5">
        <f t="shared" si="19"/>
        <v>150</v>
      </c>
      <c r="V5" s="2">
        <f t="shared" si="8"/>
        <v>0.99985816939655159</v>
      </c>
      <c r="W5" s="11">
        <f>V5/(Q5*Rough1!$B$26)*1000</f>
        <v>57.470777189116255</v>
      </c>
      <c r="X5" s="8">
        <f>V5/(I5*Rough1!$B$26)*1000</f>
        <v>3.9194629653879876E-2</v>
      </c>
      <c r="Y5" s="4">
        <v>2</v>
      </c>
      <c r="Z5" s="1">
        <f t="shared" si="9"/>
        <v>39.543995555555554</v>
      </c>
      <c r="AA5" s="4">
        <v>0.4</v>
      </c>
      <c r="AB5" s="1">
        <f t="shared" si="10"/>
        <v>351.86318344827589</v>
      </c>
      <c r="AC5" s="1">
        <f t="shared" si="11"/>
        <v>391.40717900383146</v>
      </c>
      <c r="AD5" s="1">
        <f t="shared" si="12"/>
        <v>-210.14051233716478</v>
      </c>
      <c r="AE5" s="8">
        <f t="shared" si="13"/>
        <v>0.11996051826769383</v>
      </c>
      <c r="AF5" s="14">
        <f t="shared" si="20"/>
        <v>224.97665632242544</v>
      </c>
    </row>
    <row r="6" spans="1:32" x14ac:dyDescent="0.25">
      <c r="A6" t="s">
        <v>12</v>
      </c>
      <c r="B6" t="s">
        <v>77</v>
      </c>
      <c r="C6" s="2">
        <v>3262.8</v>
      </c>
      <c r="D6" s="6">
        <v>551.85256900000002</v>
      </c>
      <c r="E6" s="4">
        <f t="shared" si="14"/>
        <v>36</v>
      </c>
      <c r="F6" s="1">
        <f t="shared" si="0"/>
        <v>15.329238027777778</v>
      </c>
      <c r="G6" s="1">
        <v>8.8879999999999999</v>
      </c>
      <c r="H6" s="1">
        <f t="shared" si="1"/>
        <v>136.24626759088889</v>
      </c>
      <c r="I6" s="2">
        <f t="shared" si="2"/>
        <v>2710.9474310000001</v>
      </c>
      <c r="J6" s="12">
        <f t="shared" si="3"/>
        <v>0.83086533989211719</v>
      </c>
      <c r="K6" s="12">
        <f t="shared" si="15"/>
        <v>4.90190483633689E-2</v>
      </c>
      <c r="L6" s="5">
        <f t="shared" si="16"/>
        <v>2.9</v>
      </c>
      <c r="M6" s="2">
        <f t="shared" si="4"/>
        <v>934.80945896551725</v>
      </c>
      <c r="N6" s="5">
        <f t="shared" si="17"/>
        <v>714</v>
      </c>
      <c r="O6" s="2">
        <f t="shared" si="18"/>
        <v>667.45395370137942</v>
      </c>
      <c r="P6" s="2">
        <f t="shared" si="5"/>
        <v>803.70022129226834</v>
      </c>
      <c r="Q6" s="2">
        <f t="shared" si="6"/>
        <v>1.8488453743983655</v>
      </c>
      <c r="R6" s="2">
        <f>100/L6</f>
        <v>34.482758620689658</v>
      </c>
      <c r="S6" s="2">
        <f>R6*Rough1!$B$25/1000000/1000</f>
        <v>8.8876281724137929</v>
      </c>
      <c r="T6" s="11">
        <f t="shared" si="7"/>
        <v>2.7239267415758834</v>
      </c>
      <c r="U6" s="5">
        <f t="shared" si="19"/>
        <v>150</v>
      </c>
      <c r="V6" s="2">
        <f t="shared" si="8"/>
        <v>1.3331442258620689</v>
      </c>
      <c r="W6" s="11">
        <f>V6/(Q6*Rough1!$B$26)*1000</f>
        <v>72.106853516394722</v>
      </c>
      <c r="X6" s="8">
        <f>V6/(I6*Rough1!$B$26)*1000</f>
        <v>4.9176321555239662E-2</v>
      </c>
      <c r="Y6" s="4">
        <v>2</v>
      </c>
      <c r="Z6" s="1">
        <f t="shared" si="9"/>
        <v>30.658476055555557</v>
      </c>
      <c r="AA6" s="4">
        <v>0.4</v>
      </c>
      <c r="AB6" s="1">
        <f t="shared" si="10"/>
        <v>373.92378358620692</v>
      </c>
      <c r="AC6" s="1">
        <f t="shared" si="11"/>
        <v>404.5822596417625</v>
      </c>
      <c r="AD6" s="1">
        <f t="shared" si="12"/>
        <v>-223.31559297509583</v>
      </c>
      <c r="AE6" s="8">
        <f t="shared" si="13"/>
        <v>0.12399848585318207</v>
      </c>
      <c r="AF6" s="14">
        <f t="shared" si="20"/>
        <v>218.82968973185115</v>
      </c>
    </row>
    <row r="7" spans="1:32" x14ac:dyDescent="0.25">
      <c r="A7" t="s">
        <v>12</v>
      </c>
      <c r="B7" t="s">
        <v>78</v>
      </c>
      <c r="C7" s="2">
        <v>3262.8</v>
      </c>
      <c r="D7" s="6">
        <v>491.22463800000003</v>
      </c>
      <c r="E7" s="4">
        <f t="shared" si="14"/>
        <v>36</v>
      </c>
      <c r="F7" s="1">
        <f t="shared" si="0"/>
        <v>13.645128833333334</v>
      </c>
      <c r="G7" s="1">
        <v>8.8879999999999999</v>
      </c>
      <c r="H7" s="1">
        <f t="shared" si="1"/>
        <v>121.27790507066668</v>
      </c>
      <c r="I7" s="2">
        <f t="shared" si="2"/>
        <v>2771.575362</v>
      </c>
      <c r="J7" s="12">
        <f t="shared" si="3"/>
        <v>0.84944690511217358</v>
      </c>
      <c r="K7" s="12">
        <f t="shared" si="15"/>
        <v>1.8581565220056384E-2</v>
      </c>
      <c r="L7" s="5">
        <f t="shared" si="16"/>
        <v>2.9</v>
      </c>
      <c r="M7" s="2">
        <f t="shared" si="4"/>
        <v>955.71564206896551</v>
      </c>
      <c r="N7" s="5">
        <f t="shared" si="17"/>
        <v>714</v>
      </c>
      <c r="O7" s="2">
        <f t="shared" si="18"/>
        <v>682.38096843724145</v>
      </c>
      <c r="P7" s="2">
        <f t="shared" si="5"/>
        <v>803.65887350790808</v>
      </c>
      <c r="Q7" s="2">
        <f t="shared" si="6"/>
        <v>1.8901931587586205</v>
      </c>
      <c r="R7" s="2">
        <f>125/L7</f>
        <v>43.103448275862071</v>
      </c>
      <c r="S7" s="2">
        <f>R7*Rough1!$B$25/1000000/1000</f>
        <v>11.109535215517242</v>
      </c>
      <c r="T7" s="11">
        <f t="shared" si="7"/>
        <v>3.4049084269698549</v>
      </c>
      <c r="U7" s="5">
        <f t="shared" si="19"/>
        <v>150</v>
      </c>
      <c r="V7" s="2">
        <f t="shared" si="8"/>
        <v>1.6664302823275863</v>
      </c>
      <c r="W7" s="11">
        <f>V7/(Q7*Rough1!$B$26)*1000</f>
        <v>88.161904226868003</v>
      </c>
      <c r="X7" s="8">
        <f>V7/(I7*Rough1!$B$26)*1000</f>
        <v>6.0125743112576645E-2</v>
      </c>
      <c r="Y7" s="4">
        <v>2</v>
      </c>
      <c r="Z7" s="1">
        <f t="shared" si="9"/>
        <v>27.290257666666669</v>
      </c>
      <c r="AA7" s="4">
        <v>0.4</v>
      </c>
      <c r="AB7" s="1">
        <f t="shared" si="10"/>
        <v>382.28625682758621</v>
      </c>
      <c r="AC7" s="1">
        <f t="shared" si="11"/>
        <v>409.57651449425288</v>
      </c>
      <c r="AD7" s="1">
        <f t="shared" si="12"/>
        <v>-228.3098478275862</v>
      </c>
      <c r="AE7" s="8">
        <f t="shared" si="13"/>
        <v>0.12552915118740127</v>
      </c>
      <c r="AF7" s="14">
        <f t="shared" si="20"/>
        <v>216.68500523155063</v>
      </c>
    </row>
    <row r="8" spans="1:32" x14ac:dyDescent="0.25">
      <c r="A8" t="s">
        <v>12</v>
      </c>
      <c r="B8" t="s">
        <v>79</v>
      </c>
      <c r="C8" s="2">
        <v>3262.8</v>
      </c>
      <c r="D8" s="6">
        <v>430.59670599999998</v>
      </c>
      <c r="E8" s="4">
        <f t="shared" si="14"/>
        <v>36</v>
      </c>
      <c r="F8" s="1">
        <f t="shared" si="0"/>
        <v>11.96101961111111</v>
      </c>
      <c r="G8" s="1">
        <v>8.8879999999999999</v>
      </c>
      <c r="H8" s="1">
        <f t="shared" si="1"/>
        <v>106.30954230355555</v>
      </c>
      <c r="I8" s="2">
        <f t="shared" si="2"/>
        <v>2832.2032940000004</v>
      </c>
      <c r="J8" s="12">
        <f t="shared" si="3"/>
        <v>0.86802847063871524</v>
      </c>
      <c r="K8" s="12">
        <f t="shared" si="15"/>
        <v>1.8581565526541666E-2</v>
      </c>
      <c r="L8" s="5">
        <f t="shared" si="16"/>
        <v>2.9</v>
      </c>
      <c r="M8" s="2">
        <f t="shared" si="4"/>
        <v>976.62182551724152</v>
      </c>
      <c r="N8" s="5">
        <f t="shared" si="17"/>
        <v>714</v>
      </c>
      <c r="O8" s="2">
        <f t="shared" si="18"/>
        <v>697.3079834193104</v>
      </c>
      <c r="P8" s="2">
        <f t="shared" si="5"/>
        <v>803.61752572286593</v>
      </c>
      <c r="Q8" s="2">
        <f t="shared" si="6"/>
        <v>1.9315409438007691</v>
      </c>
      <c r="R8" s="2">
        <f>150/L8</f>
        <v>51.724137931034484</v>
      </c>
      <c r="S8" s="2">
        <f>R8*Rough1!$B$25/1000000/1000</f>
        <v>13.331442258620688</v>
      </c>
      <c r="T8" s="11">
        <f t="shared" si="7"/>
        <v>4.0858901123638249</v>
      </c>
      <c r="U8" s="5">
        <f t="shared" si="19"/>
        <v>150</v>
      </c>
      <c r="V8" s="2">
        <f t="shared" si="8"/>
        <v>1.9997163387931032</v>
      </c>
      <c r="W8" s="11">
        <f>V8/(Q8*Rough1!$B$26)*1000</f>
        <v>103.52958580614825</v>
      </c>
      <c r="X8" s="8">
        <f>V8/(I8*Rough1!$B$26)*1000</f>
        <v>7.0606384189633775E-2</v>
      </c>
      <c r="Y8" s="4">
        <v>2</v>
      </c>
      <c r="Z8" s="1">
        <f t="shared" si="9"/>
        <v>23.922039222222221</v>
      </c>
      <c r="AA8" s="4">
        <v>0.4</v>
      </c>
      <c r="AB8" s="1">
        <f t="shared" si="10"/>
        <v>390.64873020689663</v>
      </c>
      <c r="AC8" s="1">
        <f t="shared" si="11"/>
        <v>414.57076942911885</v>
      </c>
      <c r="AD8" s="1">
        <f t="shared" si="12"/>
        <v>-233.30410276245217</v>
      </c>
      <c r="AE8" s="8">
        <f t="shared" si="13"/>
        <v>0.12705981654686735</v>
      </c>
      <c r="AF8" s="14">
        <f t="shared" si="20"/>
        <v>214.63214163783223</v>
      </c>
    </row>
    <row r="9" spans="1:32" x14ac:dyDescent="0.25">
      <c r="A9" t="s">
        <v>12</v>
      </c>
      <c r="B9" t="s">
        <v>13</v>
      </c>
      <c r="C9" s="2">
        <v>3262.8</v>
      </c>
      <c r="D9" s="6">
        <f>C9*0</f>
        <v>0</v>
      </c>
      <c r="E9" s="4">
        <f t="shared" si="14"/>
        <v>36</v>
      </c>
      <c r="F9" s="1">
        <f t="shared" si="0"/>
        <v>0</v>
      </c>
      <c r="G9" s="1">
        <v>8.8879999999999999</v>
      </c>
      <c r="H9" s="1">
        <f t="shared" si="1"/>
        <v>0</v>
      </c>
      <c r="I9" s="2">
        <f t="shared" si="2"/>
        <v>3262.8</v>
      </c>
      <c r="J9" s="12">
        <f t="shared" si="3"/>
        <v>1</v>
      </c>
      <c r="K9" s="12">
        <f t="shared" si="15"/>
        <v>0.13197152936128476</v>
      </c>
      <c r="L9" s="5">
        <f t="shared" si="16"/>
        <v>2.9</v>
      </c>
      <c r="M9" s="2">
        <f t="shared" si="4"/>
        <v>1125.1034482758621</v>
      </c>
      <c r="N9" s="5">
        <f t="shared" si="17"/>
        <v>714</v>
      </c>
      <c r="O9" s="2">
        <f t="shared" si="18"/>
        <v>803.32386206896558</v>
      </c>
      <c r="P9" s="2">
        <f t="shared" si="5"/>
        <v>803.32386206896558</v>
      </c>
      <c r="Q9" s="2">
        <f t="shared" si="6"/>
        <v>2.2252045977011221</v>
      </c>
      <c r="R9" s="2">
        <f>300/L9</f>
        <v>103.44827586206897</v>
      </c>
      <c r="S9" s="2">
        <f>R9*Rough1!$B$25/1000000/1000</f>
        <v>26.662884517241377</v>
      </c>
      <c r="T9" s="11">
        <f t="shared" si="7"/>
        <v>8.1717802247276499</v>
      </c>
      <c r="U9" s="5">
        <f t="shared" si="19"/>
        <v>150</v>
      </c>
      <c r="V9" s="2">
        <f t="shared" si="8"/>
        <v>3.9994326775862064</v>
      </c>
      <c r="W9" s="11">
        <f>V9/(Q9*Rough1!$B$26)*1000</f>
        <v>179.7332560663435</v>
      </c>
      <c r="X9" s="8">
        <f>V9/(I9*Rough1!$B$26)*1000</f>
        <v>0.12257670337091474</v>
      </c>
      <c r="Y9" s="4">
        <v>2</v>
      </c>
      <c r="Z9" s="1">
        <f t="shared" si="9"/>
        <v>0</v>
      </c>
      <c r="AA9" s="4">
        <v>0.4</v>
      </c>
      <c r="AB9" s="1">
        <f t="shared" si="10"/>
        <v>450.04137931034484</v>
      </c>
      <c r="AC9" s="1">
        <f t="shared" si="11"/>
        <v>450.04137931034484</v>
      </c>
      <c r="AD9" s="1">
        <f t="shared" si="12"/>
        <v>-268.77471264367819</v>
      </c>
      <c r="AE9" s="8">
        <f t="shared" si="13"/>
        <v>0.13793103448275862</v>
      </c>
      <c r="AF9" s="14">
        <f t="shared" si="20"/>
        <v>202.24719101123844</v>
      </c>
    </row>
    <row r="10" spans="1:32" x14ac:dyDescent="0.25">
      <c r="A10" t="s">
        <v>15</v>
      </c>
      <c r="B10" t="s">
        <v>73</v>
      </c>
      <c r="C10" s="2">
        <v>3262.8</v>
      </c>
      <c r="D10" s="6">
        <f>C10*1</f>
        <v>3262.8</v>
      </c>
      <c r="E10" s="4">
        <v>26.4</v>
      </c>
      <c r="F10" s="1">
        <f t="shared" si="0"/>
        <v>123.59090909090911</v>
      </c>
      <c r="G10" s="1">
        <v>8.8879999999999999</v>
      </c>
      <c r="H10" s="1">
        <f t="shared" si="1"/>
        <v>1098.4760000000001</v>
      </c>
      <c r="I10" s="2">
        <f t="shared" si="2"/>
        <v>0</v>
      </c>
      <c r="J10" s="12">
        <f t="shared" si="3"/>
        <v>0</v>
      </c>
      <c r="K10" s="12"/>
      <c r="L10" s="5">
        <v>3.6</v>
      </c>
      <c r="M10" s="2">
        <f t="shared" si="4"/>
        <v>0</v>
      </c>
      <c r="N10" s="5">
        <v>348</v>
      </c>
      <c r="O10" s="2">
        <f t="shared" si="18"/>
        <v>0</v>
      </c>
      <c r="P10" s="2">
        <f t="shared" si="5"/>
        <v>1098.4760000000001</v>
      </c>
      <c r="Q10" s="2">
        <f t="shared" ref="Q10:Q17" si="21">$P$10-P10</f>
        <v>0</v>
      </c>
      <c r="R10" s="2">
        <f>0/L10</f>
        <v>0</v>
      </c>
      <c r="S10" s="2">
        <f>R10*Rough1!$B$25/1000000/1000</f>
        <v>0</v>
      </c>
      <c r="T10" s="11">
        <f t="shared" si="7"/>
        <v>0</v>
      </c>
      <c r="U10" s="5">
        <v>115</v>
      </c>
      <c r="V10" s="2">
        <f t="shared" si="8"/>
        <v>0</v>
      </c>
      <c r="W10" s="10" t="s">
        <v>80</v>
      </c>
      <c r="X10" s="10" t="s">
        <v>80</v>
      </c>
      <c r="Y10" s="4">
        <v>3</v>
      </c>
      <c r="Z10" s="1">
        <f t="shared" si="9"/>
        <v>370.77272727272731</v>
      </c>
      <c r="AA10" s="4">
        <v>0.25</v>
      </c>
      <c r="AB10" s="1">
        <f t="shared" si="10"/>
        <v>0</v>
      </c>
      <c r="AC10" s="1">
        <f t="shared" si="11"/>
        <v>370.77272727272731</v>
      </c>
      <c r="AD10" s="1">
        <f t="shared" ref="AD10:AD17" si="22">$AC$10-AC10</f>
        <v>0</v>
      </c>
      <c r="AE10" s="8">
        <f t="shared" si="13"/>
        <v>0.11363636363636365</v>
      </c>
      <c r="AF10" s="18" t="s">
        <v>80</v>
      </c>
    </row>
    <row r="11" spans="1:32" x14ac:dyDescent="0.25">
      <c r="A11" t="s">
        <v>15</v>
      </c>
      <c r="B11" t="s">
        <v>76</v>
      </c>
      <c r="C11" s="2">
        <v>3262.8</v>
      </c>
      <c r="D11" s="6">
        <v>1326.0507419999999</v>
      </c>
      <c r="E11" s="4">
        <v>26.4</v>
      </c>
      <c r="F11" s="1">
        <f t="shared" si="0"/>
        <v>50.229194772727269</v>
      </c>
      <c r="G11" s="1">
        <v>8.8879999999999999</v>
      </c>
      <c r="H11" s="1">
        <f t="shared" si="1"/>
        <v>446.43708313999997</v>
      </c>
      <c r="I11" s="2">
        <f t="shared" si="2"/>
        <v>1936.7492580000003</v>
      </c>
      <c r="J11" s="12">
        <f t="shared" si="3"/>
        <v>0.59358503677822738</v>
      </c>
      <c r="K11" s="12">
        <f t="shared" ref="K11:K17" si="23">J11-J10</f>
        <v>0.59358503677822738</v>
      </c>
      <c r="L11" s="5">
        <v>3.6</v>
      </c>
      <c r="M11" s="2">
        <f t="shared" si="4"/>
        <v>537.98590500000012</v>
      </c>
      <c r="N11" s="5">
        <v>348</v>
      </c>
      <c r="O11" s="2">
        <f t="shared" si="18"/>
        <v>187.21909494000002</v>
      </c>
      <c r="P11" s="2">
        <f t="shared" si="5"/>
        <v>633.65617808000002</v>
      </c>
      <c r="Q11" s="2">
        <f t="shared" si="21"/>
        <v>464.81982192000009</v>
      </c>
      <c r="R11" s="2">
        <f>25/L11</f>
        <v>6.9444444444444446</v>
      </c>
      <c r="S11" s="2">
        <f>R11*Rough1!$B$25/1000000/1000</f>
        <v>1.7898695625000001</v>
      </c>
      <c r="T11" s="11">
        <f t="shared" si="7"/>
        <v>0.54856857990069874</v>
      </c>
      <c r="U11" s="5">
        <f t="shared" ref="U11:U17" si="24">U10</f>
        <v>115</v>
      </c>
      <c r="V11" s="2">
        <f t="shared" si="8"/>
        <v>0.20583499968750002</v>
      </c>
      <c r="W11" s="11">
        <f>V11/(Q11*Rough1!$B$26)*1000</f>
        <v>4.4282749999187028E-2</v>
      </c>
      <c r="X11" s="8">
        <f>V11/(I11*Rough1!$B$26)*1000</f>
        <v>1.062785999980489E-2</v>
      </c>
      <c r="Y11" s="4">
        <v>3</v>
      </c>
      <c r="Z11" s="1">
        <f t="shared" si="9"/>
        <v>150.68758431818179</v>
      </c>
      <c r="AA11" s="4">
        <v>0.25</v>
      </c>
      <c r="AB11" s="1">
        <f t="shared" si="10"/>
        <v>134.49647625000003</v>
      </c>
      <c r="AC11" s="1">
        <f t="shared" si="11"/>
        <v>285.18406056818185</v>
      </c>
      <c r="AD11" s="1">
        <f t="shared" si="22"/>
        <v>85.58866670454546</v>
      </c>
      <c r="AE11" s="8">
        <f t="shared" si="13"/>
        <v>8.7404701657527839E-2</v>
      </c>
      <c r="AF11" s="14">
        <f t="shared" ref="AF11:AF17" si="25">AC11/Q11</f>
        <v>0.61353678806164325</v>
      </c>
    </row>
    <row r="12" spans="1:32" x14ac:dyDescent="0.25">
      <c r="A12" t="s">
        <v>15</v>
      </c>
      <c r="B12" t="s">
        <v>75</v>
      </c>
      <c r="C12" s="2">
        <v>3262.8</v>
      </c>
      <c r="D12" s="6">
        <v>871.73126999999999</v>
      </c>
      <c r="E12" s="4">
        <v>26.4</v>
      </c>
      <c r="F12" s="1">
        <f t="shared" si="0"/>
        <v>33.020123863636364</v>
      </c>
      <c r="G12" s="1">
        <v>8.8879999999999999</v>
      </c>
      <c r="H12" s="1">
        <f t="shared" si="1"/>
        <v>293.48286089999999</v>
      </c>
      <c r="I12" s="2">
        <f t="shared" si="2"/>
        <v>2391.06873</v>
      </c>
      <c r="J12" s="12">
        <f t="shared" si="3"/>
        <v>0.73282724347186456</v>
      </c>
      <c r="K12" s="12">
        <f t="shared" si="23"/>
        <v>0.13924220669363718</v>
      </c>
      <c r="L12" s="5">
        <v>3.6</v>
      </c>
      <c r="M12" s="2">
        <f t="shared" si="4"/>
        <v>664.1857583333333</v>
      </c>
      <c r="N12" s="5">
        <v>348</v>
      </c>
      <c r="O12" s="2">
        <f t="shared" si="18"/>
        <v>231.1366439</v>
      </c>
      <c r="P12" s="2">
        <f t="shared" si="5"/>
        <v>524.61950479999996</v>
      </c>
      <c r="Q12" s="2">
        <f t="shared" si="21"/>
        <v>573.85649520000015</v>
      </c>
      <c r="R12" s="2">
        <f>50/L12</f>
        <v>13.888888888888889</v>
      </c>
      <c r="S12" s="2">
        <f>R12*Rough1!$B$25/1000000/1000</f>
        <v>3.5797391250000001</v>
      </c>
      <c r="T12" s="11">
        <f t="shared" si="7"/>
        <v>1.0971371598013975</v>
      </c>
      <c r="U12" s="5">
        <f t="shared" si="24"/>
        <v>115</v>
      </c>
      <c r="V12" s="2">
        <f t="shared" si="8"/>
        <v>0.41166999937500004</v>
      </c>
      <c r="W12" s="11">
        <f>V12/(Q12*Rough1!$B$26)*1000</f>
        <v>7.1737447047893921E-2</v>
      </c>
      <c r="X12" s="8">
        <f>V12/(I12*Rough1!$B$26)*1000</f>
        <v>1.7216987291494547E-2</v>
      </c>
      <c r="Y12" s="4">
        <v>3</v>
      </c>
      <c r="Z12" s="1">
        <f t="shared" si="9"/>
        <v>99.060371590909085</v>
      </c>
      <c r="AA12" s="4">
        <v>0.25</v>
      </c>
      <c r="AB12" s="1">
        <f t="shared" si="10"/>
        <v>166.04643958333332</v>
      </c>
      <c r="AC12" s="1">
        <f t="shared" si="11"/>
        <v>265.10681117424241</v>
      </c>
      <c r="AD12" s="1">
        <f t="shared" si="22"/>
        <v>105.6659160984849</v>
      </c>
      <c r="AE12" s="8">
        <f t="shared" si="13"/>
        <v>8.1251321311218094E-2</v>
      </c>
      <c r="AF12" s="14">
        <f t="shared" si="25"/>
        <v>0.46197405342924197</v>
      </c>
    </row>
    <row r="13" spans="1:32" x14ac:dyDescent="0.25">
      <c r="A13" t="s">
        <v>15</v>
      </c>
      <c r="B13" t="s">
        <v>74</v>
      </c>
      <c r="C13" s="2">
        <v>3262.8</v>
      </c>
      <c r="D13" s="6">
        <v>711.79192</v>
      </c>
      <c r="E13" s="4">
        <v>26.4</v>
      </c>
      <c r="F13" s="1">
        <f t="shared" si="0"/>
        <v>26.961815151515154</v>
      </c>
      <c r="G13" s="1">
        <v>8.8879999999999999</v>
      </c>
      <c r="H13" s="1">
        <f t="shared" si="1"/>
        <v>239.63661306666668</v>
      </c>
      <c r="I13" s="2">
        <f t="shared" si="2"/>
        <v>2551.0080800000001</v>
      </c>
      <c r="J13" s="12">
        <f t="shared" si="3"/>
        <v>0.78184629152874829</v>
      </c>
      <c r="K13" s="12">
        <f t="shared" si="23"/>
        <v>4.9019048056883729E-2</v>
      </c>
      <c r="L13" s="5">
        <v>3.6</v>
      </c>
      <c r="M13" s="2">
        <f t="shared" si="4"/>
        <v>708.61335555555559</v>
      </c>
      <c r="N13" s="5">
        <v>348</v>
      </c>
      <c r="O13" s="2">
        <f t="shared" si="18"/>
        <v>246.59744773333335</v>
      </c>
      <c r="P13" s="2">
        <f t="shared" si="5"/>
        <v>486.23406080000007</v>
      </c>
      <c r="Q13" s="2">
        <f t="shared" si="21"/>
        <v>612.24193920000005</v>
      </c>
      <c r="R13" s="2">
        <f>75/L13</f>
        <v>20.833333333333332</v>
      </c>
      <c r="S13" s="2">
        <f>R13*Rough1!$B$25/1000000/1000</f>
        <v>5.3696086875000004</v>
      </c>
      <c r="T13" s="11">
        <f t="shared" si="7"/>
        <v>1.6457057397020964</v>
      </c>
      <c r="U13" s="5">
        <f t="shared" si="24"/>
        <v>115</v>
      </c>
      <c r="V13" s="2">
        <f t="shared" si="8"/>
        <v>0.6175049990625</v>
      </c>
      <c r="W13" s="11">
        <f>V13/(Q13*Rough1!$B$26)*1000</f>
        <v>0.10085963726519241</v>
      </c>
      <c r="X13" s="8">
        <f>V13/(I13*Rough1!$B$26)*1000</f>
        <v>2.4206312943646183E-2</v>
      </c>
      <c r="Y13" s="4">
        <v>3</v>
      </c>
      <c r="Z13" s="1">
        <f t="shared" si="9"/>
        <v>80.885445454545462</v>
      </c>
      <c r="AA13" s="4">
        <v>0.25</v>
      </c>
      <c r="AB13" s="1">
        <f t="shared" si="10"/>
        <v>177.1533388888889</v>
      </c>
      <c r="AC13" s="1">
        <f t="shared" si="11"/>
        <v>258.03878434343437</v>
      </c>
      <c r="AD13" s="1">
        <f t="shared" si="22"/>
        <v>112.73394292929294</v>
      </c>
      <c r="AE13" s="8">
        <f t="shared" si="13"/>
        <v>7.9085075500623506E-2</v>
      </c>
      <c r="AF13" s="14">
        <f t="shared" si="25"/>
        <v>0.4214653845514188</v>
      </c>
    </row>
    <row r="14" spans="1:32" x14ac:dyDescent="0.25">
      <c r="A14" t="s">
        <v>15</v>
      </c>
      <c r="B14" t="s">
        <v>77</v>
      </c>
      <c r="C14" s="2">
        <v>3262.8</v>
      </c>
      <c r="D14" s="6">
        <v>551.85256900000002</v>
      </c>
      <c r="E14" s="4">
        <v>26.4</v>
      </c>
      <c r="F14" s="1">
        <f t="shared" si="0"/>
        <v>20.903506401515152</v>
      </c>
      <c r="G14" s="1">
        <v>8.8879999999999999</v>
      </c>
      <c r="H14" s="1">
        <f t="shared" si="1"/>
        <v>185.79036489666666</v>
      </c>
      <c r="I14" s="2">
        <f t="shared" si="2"/>
        <v>2710.9474310000001</v>
      </c>
      <c r="J14" s="12">
        <f t="shared" si="3"/>
        <v>0.83086533989211719</v>
      </c>
      <c r="K14" s="12">
        <f t="shared" si="23"/>
        <v>4.90190483633689E-2</v>
      </c>
      <c r="L14" s="5">
        <v>3.6</v>
      </c>
      <c r="M14" s="2">
        <f t="shared" si="4"/>
        <v>753.04095305555552</v>
      </c>
      <c r="N14" s="5">
        <v>348</v>
      </c>
      <c r="O14" s="2">
        <f t="shared" si="18"/>
        <v>262.05825166333335</v>
      </c>
      <c r="P14" s="2">
        <f t="shared" si="5"/>
        <v>447.84861655999998</v>
      </c>
      <c r="Q14" s="2">
        <f t="shared" si="21"/>
        <v>650.62738344000013</v>
      </c>
      <c r="R14" s="2">
        <f>100/L14</f>
        <v>27.777777777777779</v>
      </c>
      <c r="S14" s="2">
        <f>R14*Rough1!$B$25/1000000/1000</f>
        <v>7.1594782500000003</v>
      </c>
      <c r="T14" s="11">
        <f t="shared" si="7"/>
        <v>2.194274319602795</v>
      </c>
      <c r="U14" s="5">
        <f t="shared" si="24"/>
        <v>115</v>
      </c>
      <c r="V14" s="2">
        <f t="shared" si="8"/>
        <v>0.82333999875000008</v>
      </c>
      <c r="W14" s="11">
        <f>V14/(Q14*Rough1!$B$26)*1000</f>
        <v>0.12654554968111442</v>
      </c>
      <c r="X14" s="8">
        <f>V14/(I14*Rough1!$B$26)*1000</f>
        <v>3.0370931923467463E-2</v>
      </c>
      <c r="Y14" s="4">
        <v>3</v>
      </c>
      <c r="Z14" s="1">
        <f t="shared" si="9"/>
        <v>62.710519204545456</v>
      </c>
      <c r="AA14" s="4">
        <v>0.25</v>
      </c>
      <c r="AB14" s="1">
        <f t="shared" si="10"/>
        <v>188.26023826388888</v>
      </c>
      <c r="AC14" s="1">
        <f t="shared" si="11"/>
        <v>250.97075746843433</v>
      </c>
      <c r="AD14" s="1">
        <f t="shared" si="22"/>
        <v>119.80196980429298</v>
      </c>
      <c r="AE14" s="8">
        <f t="shared" si="13"/>
        <v>7.691882967648471E-2</v>
      </c>
      <c r="AF14" s="14">
        <f t="shared" si="25"/>
        <v>0.38573654269130292</v>
      </c>
    </row>
    <row r="15" spans="1:32" x14ac:dyDescent="0.25">
      <c r="A15" t="s">
        <v>15</v>
      </c>
      <c r="B15" t="s">
        <v>78</v>
      </c>
      <c r="C15" s="2">
        <v>3262.8</v>
      </c>
      <c r="D15" s="6">
        <v>491.22463800000003</v>
      </c>
      <c r="E15" s="4">
        <v>26.4</v>
      </c>
      <c r="F15" s="1">
        <f t="shared" si="0"/>
        <v>18.606993863636365</v>
      </c>
      <c r="G15" s="1">
        <v>8.8879999999999999</v>
      </c>
      <c r="H15" s="1">
        <f t="shared" si="1"/>
        <v>165.37896146</v>
      </c>
      <c r="I15" s="2">
        <f t="shared" si="2"/>
        <v>2771.575362</v>
      </c>
      <c r="J15" s="12">
        <f t="shared" si="3"/>
        <v>0.84944690511217358</v>
      </c>
      <c r="K15" s="12">
        <f t="shared" si="23"/>
        <v>1.8581565220056384E-2</v>
      </c>
      <c r="L15" s="5">
        <v>3.6</v>
      </c>
      <c r="M15" s="2">
        <f t="shared" si="4"/>
        <v>769.88204499999995</v>
      </c>
      <c r="N15" s="5">
        <v>348</v>
      </c>
      <c r="O15" s="2">
        <f t="shared" si="18"/>
        <v>267.91895165999995</v>
      </c>
      <c r="P15" s="2">
        <f t="shared" si="5"/>
        <v>433.29791311999998</v>
      </c>
      <c r="Q15" s="2">
        <f t="shared" si="21"/>
        <v>665.17808688000014</v>
      </c>
      <c r="R15" s="2">
        <f>125/L15</f>
        <v>34.722222222222221</v>
      </c>
      <c r="S15" s="2">
        <f>R15*Rough1!$B$25/1000000/1000</f>
        <v>8.949347812500001</v>
      </c>
      <c r="T15" s="11">
        <f t="shared" si="7"/>
        <v>2.7428428995034939</v>
      </c>
      <c r="U15" s="5">
        <f t="shared" si="24"/>
        <v>115</v>
      </c>
      <c r="V15" s="2">
        <f t="shared" si="8"/>
        <v>1.0291749984375</v>
      </c>
      <c r="W15" s="11">
        <f>V15/(Q15*Rough1!$B$26)*1000</f>
        <v>0.15472172321021843</v>
      </c>
      <c r="X15" s="8">
        <f>V15/(I15*Rough1!$B$26)*1000</f>
        <v>3.7133213570452434E-2</v>
      </c>
      <c r="Y15" s="4">
        <v>3</v>
      </c>
      <c r="Z15" s="1">
        <f t="shared" si="9"/>
        <v>55.820981590909099</v>
      </c>
      <c r="AA15" s="4">
        <v>0.25</v>
      </c>
      <c r="AB15" s="1">
        <f t="shared" si="10"/>
        <v>192.47051124999999</v>
      </c>
      <c r="AC15" s="1">
        <f t="shared" si="11"/>
        <v>248.29149284090909</v>
      </c>
      <c r="AD15" s="1">
        <f t="shared" si="22"/>
        <v>122.48123443181822</v>
      </c>
      <c r="AE15" s="8">
        <f t="shared" si="13"/>
        <v>7.6097674647820607E-2</v>
      </c>
      <c r="AF15" s="14">
        <f t="shared" si="25"/>
        <v>0.37327070409897839</v>
      </c>
    </row>
    <row r="16" spans="1:32" x14ac:dyDescent="0.25">
      <c r="A16" t="s">
        <v>15</v>
      </c>
      <c r="B16" t="s">
        <v>79</v>
      </c>
      <c r="C16" s="2">
        <v>3262.8</v>
      </c>
      <c r="D16" s="6">
        <v>430.59670599999998</v>
      </c>
      <c r="E16" s="4">
        <v>26.4</v>
      </c>
      <c r="F16" s="1">
        <f t="shared" si="0"/>
        <v>16.310481287878787</v>
      </c>
      <c r="G16" s="1">
        <v>8.8879999999999999</v>
      </c>
      <c r="H16" s="1">
        <f t="shared" si="1"/>
        <v>144.96755768666665</v>
      </c>
      <c r="I16" s="2">
        <f t="shared" si="2"/>
        <v>2832.2032940000004</v>
      </c>
      <c r="J16" s="12">
        <f t="shared" si="3"/>
        <v>0.86802847063871524</v>
      </c>
      <c r="K16" s="12">
        <f t="shared" si="23"/>
        <v>1.8581565526541666E-2</v>
      </c>
      <c r="L16" s="5">
        <v>3.6</v>
      </c>
      <c r="M16" s="2">
        <f t="shared" si="4"/>
        <v>786.72313722222225</v>
      </c>
      <c r="N16" s="5">
        <v>348</v>
      </c>
      <c r="O16" s="2">
        <f t="shared" si="18"/>
        <v>273.77965175333333</v>
      </c>
      <c r="P16" s="2">
        <f t="shared" si="5"/>
        <v>418.74720944000001</v>
      </c>
      <c r="Q16" s="2">
        <f t="shared" si="21"/>
        <v>679.72879056000011</v>
      </c>
      <c r="R16" s="2">
        <f>150/L16</f>
        <v>41.666666666666664</v>
      </c>
      <c r="S16" s="2">
        <f>R16*Rough1!$B$25/1000000/1000</f>
        <v>10.739217375000001</v>
      </c>
      <c r="T16" s="11">
        <f t="shared" si="7"/>
        <v>3.2914114794041929</v>
      </c>
      <c r="U16" s="5">
        <f t="shared" si="24"/>
        <v>115</v>
      </c>
      <c r="V16" s="2">
        <f t="shared" si="8"/>
        <v>1.235009998125</v>
      </c>
      <c r="W16" s="11">
        <f>V16/(Q16*Rough1!$B$26)*1000</f>
        <v>0.18169158277193567</v>
      </c>
      <c r="X16" s="8">
        <f>V16/(I16*Rough1!$B$26)*1000</f>
        <v>4.3605979865264564E-2</v>
      </c>
      <c r="Y16" s="4">
        <v>3</v>
      </c>
      <c r="Z16" s="1">
        <f t="shared" si="9"/>
        <v>48.93144386363636</v>
      </c>
      <c r="AA16" s="4">
        <v>0.25</v>
      </c>
      <c r="AB16" s="1">
        <f t="shared" si="10"/>
        <v>196.68078430555556</v>
      </c>
      <c r="AC16" s="1">
        <f t="shared" si="11"/>
        <v>245.61222816919192</v>
      </c>
      <c r="AD16" s="1">
        <f t="shared" si="22"/>
        <v>125.16049910353539</v>
      </c>
      <c r="AE16" s="8">
        <f t="shared" si="13"/>
        <v>7.5276519605612324E-2</v>
      </c>
      <c r="AF16" s="14">
        <f t="shared" si="25"/>
        <v>0.36133856852943108</v>
      </c>
    </row>
    <row r="17" spans="1:32" x14ac:dyDescent="0.25">
      <c r="A17" t="s">
        <v>15</v>
      </c>
      <c r="B17" t="s">
        <v>13</v>
      </c>
      <c r="C17" s="2">
        <v>3262.8</v>
      </c>
      <c r="D17" s="6">
        <f>C17*0</f>
        <v>0</v>
      </c>
      <c r="E17" s="4">
        <v>26.4</v>
      </c>
      <c r="F17" s="1">
        <f t="shared" si="0"/>
        <v>0</v>
      </c>
      <c r="G17" s="1">
        <v>8.8879999999999999</v>
      </c>
      <c r="H17" s="1">
        <f t="shared" si="1"/>
        <v>0</v>
      </c>
      <c r="I17" s="2">
        <f t="shared" si="2"/>
        <v>3262.8</v>
      </c>
      <c r="J17" s="12">
        <f t="shared" si="3"/>
        <v>1</v>
      </c>
      <c r="K17" s="12">
        <f t="shared" si="23"/>
        <v>0.13197152936128476</v>
      </c>
      <c r="L17" s="5">
        <v>3.6</v>
      </c>
      <c r="M17" s="2">
        <f t="shared" si="4"/>
        <v>906.33333333333337</v>
      </c>
      <c r="N17" s="5">
        <v>348</v>
      </c>
      <c r="O17" s="2">
        <f t="shared" si="18"/>
        <v>315.404</v>
      </c>
      <c r="P17" s="2">
        <f t="shared" si="5"/>
        <v>315.404</v>
      </c>
      <c r="Q17" s="2">
        <f t="shared" si="21"/>
        <v>783.07200000000012</v>
      </c>
      <c r="R17" s="2">
        <f>300/L17</f>
        <v>83.333333333333329</v>
      </c>
      <c r="S17" s="2">
        <f>R17*Rough1!$B$25/1000000/1000</f>
        <v>21.478434750000002</v>
      </c>
      <c r="T17" s="11">
        <f t="shared" si="7"/>
        <v>6.5828229588083857</v>
      </c>
      <c r="U17" s="5">
        <f t="shared" si="24"/>
        <v>115</v>
      </c>
      <c r="V17" s="2">
        <f t="shared" si="8"/>
        <v>2.47001999625</v>
      </c>
      <c r="W17" s="11">
        <f>V17/(Q17*Rough1!$B$26)*1000</f>
        <v>0.31542693344290174</v>
      </c>
      <c r="X17" s="8">
        <f>V17/(I17*Rough1!$B$26)*1000</f>
        <v>7.5702464026296434E-2</v>
      </c>
      <c r="Y17" s="4">
        <v>3</v>
      </c>
      <c r="Z17" s="1">
        <f t="shared" si="9"/>
        <v>0</v>
      </c>
      <c r="AA17" s="4">
        <v>0.15</v>
      </c>
      <c r="AB17" s="1">
        <f t="shared" si="10"/>
        <v>135.94999999999999</v>
      </c>
      <c r="AC17" s="1">
        <f t="shared" si="11"/>
        <v>135.94999999999999</v>
      </c>
      <c r="AD17" s="1">
        <f t="shared" si="22"/>
        <v>234.82272727272732</v>
      </c>
      <c r="AE17" s="8">
        <f t="shared" si="13"/>
        <v>4.1666666666666657E-2</v>
      </c>
      <c r="AF17" s="14">
        <f t="shared" si="25"/>
        <v>0.17361111111111108</v>
      </c>
    </row>
    <row r="18" spans="1:32" x14ac:dyDescent="0.25">
      <c r="A18" t="s">
        <v>16</v>
      </c>
      <c r="B18" t="s">
        <v>73</v>
      </c>
      <c r="C18" s="2">
        <v>3262.8</v>
      </c>
      <c r="D18" s="6">
        <f>C18*1</f>
        <v>3262.8</v>
      </c>
      <c r="E18" s="4">
        <v>18</v>
      </c>
      <c r="F18" s="1">
        <f t="shared" si="0"/>
        <v>181.26666666666668</v>
      </c>
      <c r="G18" s="1">
        <v>8.8879999999999999</v>
      </c>
      <c r="H18" s="1">
        <f t="shared" si="1"/>
        <v>1611.0981333333334</v>
      </c>
      <c r="I18" s="2">
        <f t="shared" si="2"/>
        <v>0</v>
      </c>
      <c r="J18" s="12">
        <f t="shared" si="3"/>
        <v>0</v>
      </c>
      <c r="K18" s="12"/>
      <c r="L18" s="5">
        <v>4.2</v>
      </c>
      <c r="M18" s="2">
        <f t="shared" si="4"/>
        <v>0</v>
      </c>
      <c r="N18" s="5">
        <v>125</v>
      </c>
      <c r="O18" s="2">
        <f t="shared" si="18"/>
        <v>0</v>
      </c>
      <c r="P18" s="2">
        <f t="shared" si="5"/>
        <v>1611.0981333333334</v>
      </c>
      <c r="Q18" s="2">
        <f t="shared" ref="Q18:Q25" si="26">$P$18-P18</f>
        <v>0</v>
      </c>
      <c r="R18" s="2">
        <f>0/L18</f>
        <v>0</v>
      </c>
      <c r="S18" s="2">
        <f>R18*Rough1!$B$25/1000000/1000</f>
        <v>0</v>
      </c>
      <c r="T18" s="11">
        <f t="shared" si="7"/>
        <v>0</v>
      </c>
      <c r="U18" s="5">
        <v>75</v>
      </c>
      <c r="V18" s="2">
        <f t="shared" si="8"/>
        <v>0</v>
      </c>
      <c r="W18" s="10" t="s">
        <v>80</v>
      </c>
      <c r="X18" s="10" t="s">
        <v>80</v>
      </c>
      <c r="Y18" s="4">
        <v>5</v>
      </c>
      <c r="Z18" s="1">
        <f t="shared" si="9"/>
        <v>906.33333333333337</v>
      </c>
      <c r="AA18" s="4">
        <v>0.15</v>
      </c>
      <c r="AB18" s="1">
        <f t="shared" si="10"/>
        <v>0</v>
      </c>
      <c r="AC18" s="1">
        <f t="shared" si="11"/>
        <v>906.33333333333337</v>
      </c>
      <c r="AD18" s="1">
        <f t="shared" ref="AD18:AD25" si="27">$AC$18-AC18</f>
        <v>0</v>
      </c>
      <c r="AE18" s="8">
        <f t="shared" si="13"/>
        <v>0.27777777777777779</v>
      </c>
      <c r="AF18" s="18" t="s">
        <v>80</v>
      </c>
    </row>
    <row r="19" spans="1:32" x14ac:dyDescent="0.25">
      <c r="A19" t="s">
        <v>16</v>
      </c>
      <c r="B19" t="s">
        <v>76</v>
      </c>
      <c r="C19" s="2">
        <v>3262.8</v>
      </c>
      <c r="D19" s="6">
        <v>1326.0507419999999</v>
      </c>
      <c r="E19" s="4">
        <v>18</v>
      </c>
      <c r="F19" s="1">
        <f t="shared" si="0"/>
        <v>73.66948566666666</v>
      </c>
      <c r="G19" s="1">
        <v>8.8879999999999999</v>
      </c>
      <c r="H19" s="1">
        <f t="shared" si="1"/>
        <v>654.77438860533323</v>
      </c>
      <c r="I19" s="2">
        <f t="shared" si="2"/>
        <v>1936.7492580000003</v>
      </c>
      <c r="J19" s="12">
        <f t="shared" si="3"/>
        <v>0.59358503677822738</v>
      </c>
      <c r="K19" s="12">
        <f t="shared" ref="K19:K25" si="28">J19-J18</f>
        <v>0.59358503677822738</v>
      </c>
      <c r="L19" s="5">
        <f t="shared" ref="L19:L25" si="29">L18</f>
        <v>4.2</v>
      </c>
      <c r="M19" s="2">
        <f t="shared" si="4"/>
        <v>461.13077571428579</v>
      </c>
      <c r="N19" s="5">
        <v>125</v>
      </c>
      <c r="O19" s="2">
        <f t="shared" si="18"/>
        <v>57.641346964285724</v>
      </c>
      <c r="P19" s="2">
        <f t="shared" si="5"/>
        <v>712.41573556961896</v>
      </c>
      <c r="Q19" s="2">
        <f t="shared" si="26"/>
        <v>898.68239776371445</v>
      </c>
      <c r="R19" s="2">
        <f>25/L19</f>
        <v>5.9523809523809526</v>
      </c>
      <c r="S19" s="2">
        <f>R19*Rough1!$B$25/1000000/1000</f>
        <v>1.5341739107142858</v>
      </c>
      <c r="T19" s="11">
        <f t="shared" si="7"/>
        <v>0.47020163991488467</v>
      </c>
      <c r="U19" s="5">
        <v>75</v>
      </c>
      <c r="V19" s="2">
        <f t="shared" si="8"/>
        <v>0.11506304330357144</v>
      </c>
      <c r="W19" s="11">
        <f>V19/(Q19*Rough1!$B$26)*1000</f>
        <v>1.2803526984604892E-2</v>
      </c>
      <c r="X19" s="8">
        <f>V19/(I19*Rough1!$B$26)*1000</f>
        <v>5.9410397514437271E-3</v>
      </c>
      <c r="Y19" s="4">
        <v>5</v>
      </c>
      <c r="Z19" s="1">
        <f t="shared" si="9"/>
        <v>368.34742833333331</v>
      </c>
      <c r="AA19" s="4">
        <v>0.15</v>
      </c>
      <c r="AB19" s="1">
        <f t="shared" si="10"/>
        <v>69.169616357142871</v>
      </c>
      <c r="AC19" s="1">
        <f t="shared" si="11"/>
        <v>437.51704469047615</v>
      </c>
      <c r="AD19" s="1">
        <f t="shared" si="27"/>
        <v>468.81628864285722</v>
      </c>
      <c r="AE19" s="8">
        <f t="shared" si="13"/>
        <v>0.13409251093860369</v>
      </c>
      <c r="AF19" s="14">
        <f t="shared" ref="AF19:AF25" si="30">AC19/Q19</f>
        <v>0.48684278870844211</v>
      </c>
    </row>
    <row r="20" spans="1:32" x14ac:dyDescent="0.25">
      <c r="A20" t="s">
        <v>16</v>
      </c>
      <c r="B20" t="s">
        <v>75</v>
      </c>
      <c r="C20" s="2">
        <v>3262.8</v>
      </c>
      <c r="D20" s="6">
        <v>871.73126999999999</v>
      </c>
      <c r="E20" s="4">
        <v>18</v>
      </c>
      <c r="F20" s="1">
        <f t="shared" si="0"/>
        <v>48.429515000000002</v>
      </c>
      <c r="G20" s="1">
        <v>8.8879999999999999</v>
      </c>
      <c r="H20" s="1">
        <f t="shared" si="1"/>
        <v>430.44152932000003</v>
      </c>
      <c r="I20" s="2">
        <f t="shared" si="2"/>
        <v>2391.06873</v>
      </c>
      <c r="J20" s="12">
        <f t="shared" si="3"/>
        <v>0.73282724347186456</v>
      </c>
      <c r="K20" s="12">
        <f t="shared" si="28"/>
        <v>0.13924220669363718</v>
      </c>
      <c r="L20" s="5">
        <f t="shared" si="29"/>
        <v>4.2</v>
      </c>
      <c r="M20" s="2">
        <f t="shared" si="4"/>
        <v>569.30207857142852</v>
      </c>
      <c r="N20" s="5">
        <v>125</v>
      </c>
      <c r="O20" s="2">
        <f t="shared" si="18"/>
        <v>71.162759821428565</v>
      </c>
      <c r="P20" s="2">
        <f t="shared" si="5"/>
        <v>501.60428914142858</v>
      </c>
      <c r="Q20" s="2">
        <f t="shared" si="26"/>
        <v>1109.4938441919048</v>
      </c>
      <c r="R20" s="2">
        <f>50/L20</f>
        <v>11.904761904761905</v>
      </c>
      <c r="S20" s="2">
        <f>R20*Rough1!$B$25/1000000/1000</f>
        <v>3.0683478214285715</v>
      </c>
      <c r="T20" s="11">
        <f t="shared" si="7"/>
        <v>0.94040327982976935</v>
      </c>
      <c r="U20" s="5">
        <v>75</v>
      </c>
      <c r="V20" s="2">
        <f t="shared" si="8"/>
        <v>0.23012608660714287</v>
      </c>
      <c r="W20" s="11">
        <f>V20/(Q20*Rough1!$B$26)*1000</f>
        <v>2.0741537937486641E-2</v>
      </c>
      <c r="X20" s="8">
        <f>V20/(I20*Rough1!$B$26)*1000</f>
        <v>9.6244028337547152E-3</v>
      </c>
      <c r="Y20" s="4">
        <v>5</v>
      </c>
      <c r="Z20" s="1">
        <f t="shared" si="9"/>
        <v>242.14757500000002</v>
      </c>
      <c r="AA20" s="4">
        <v>0.15</v>
      </c>
      <c r="AB20" s="1">
        <f t="shared" si="10"/>
        <v>85.39531178571427</v>
      </c>
      <c r="AC20" s="1">
        <f t="shared" si="11"/>
        <v>327.5428867857143</v>
      </c>
      <c r="AD20" s="1">
        <f t="shared" si="27"/>
        <v>578.79044654761901</v>
      </c>
      <c r="AE20" s="8">
        <f t="shared" si="13"/>
        <v>0.10038705614371531</v>
      </c>
      <c r="AF20" s="14">
        <f t="shared" si="30"/>
        <v>0.29521830021894241</v>
      </c>
    </row>
    <row r="21" spans="1:32" x14ac:dyDescent="0.25">
      <c r="A21" t="s">
        <v>16</v>
      </c>
      <c r="B21" t="s">
        <v>74</v>
      </c>
      <c r="C21" s="2">
        <v>3262.8</v>
      </c>
      <c r="D21" s="6">
        <v>711.79192</v>
      </c>
      <c r="E21" s="4">
        <v>18</v>
      </c>
      <c r="F21" s="1">
        <f t="shared" si="0"/>
        <v>39.543995555555554</v>
      </c>
      <c r="G21" s="1">
        <v>8.8879999999999999</v>
      </c>
      <c r="H21" s="1">
        <f t="shared" si="1"/>
        <v>351.46703249777778</v>
      </c>
      <c r="I21" s="2">
        <f t="shared" si="2"/>
        <v>2551.0080800000001</v>
      </c>
      <c r="J21" s="12">
        <f t="shared" si="3"/>
        <v>0.78184629152874829</v>
      </c>
      <c r="K21" s="12">
        <f t="shared" si="28"/>
        <v>4.9019048056883729E-2</v>
      </c>
      <c r="L21" s="5">
        <f t="shared" si="29"/>
        <v>4.2</v>
      </c>
      <c r="M21" s="2">
        <f t="shared" si="4"/>
        <v>607.38287619047617</v>
      </c>
      <c r="N21" s="5">
        <v>125</v>
      </c>
      <c r="O21" s="2">
        <f t="shared" si="18"/>
        <v>75.922859523809521</v>
      </c>
      <c r="P21" s="2">
        <f t="shared" si="5"/>
        <v>427.38989202158729</v>
      </c>
      <c r="Q21" s="2">
        <f t="shared" si="26"/>
        <v>1183.7082413117462</v>
      </c>
      <c r="R21" s="2">
        <f>75/L21</f>
        <v>17.857142857142858</v>
      </c>
      <c r="S21" s="2">
        <f>R21*Rough1!$B$25/1000000/1000</f>
        <v>4.6025217321428569</v>
      </c>
      <c r="T21" s="11">
        <f t="shared" si="7"/>
        <v>1.410604919744654</v>
      </c>
      <c r="U21" s="5">
        <v>75</v>
      </c>
      <c r="V21" s="2">
        <f t="shared" si="8"/>
        <v>0.34518912991071427</v>
      </c>
      <c r="W21" s="11">
        <f>V21/(Q21*Rough1!$B$26)*1000</f>
        <v>2.9161673279235356E-2</v>
      </c>
      <c r="X21" s="8">
        <f>V21/(I21*Rough1!$B$26)*1000</f>
        <v>1.3531479285268051E-2</v>
      </c>
      <c r="Y21" s="4">
        <v>5</v>
      </c>
      <c r="Z21" s="1">
        <f t="shared" si="9"/>
        <v>197.71997777777779</v>
      </c>
      <c r="AA21" s="4">
        <v>0.15</v>
      </c>
      <c r="AB21" s="1">
        <f t="shared" si="10"/>
        <v>91.107431428571417</v>
      </c>
      <c r="AC21" s="1">
        <f t="shared" si="11"/>
        <v>288.82740920634922</v>
      </c>
      <c r="AD21" s="1">
        <f t="shared" si="27"/>
        <v>617.50592412698416</v>
      </c>
      <c r="AE21" s="8">
        <f t="shared" si="13"/>
        <v>8.8521334193437912E-2</v>
      </c>
      <c r="AF21" s="14">
        <f t="shared" si="30"/>
        <v>0.24400219507323889</v>
      </c>
    </row>
    <row r="22" spans="1:32" x14ac:dyDescent="0.25">
      <c r="A22" t="s">
        <v>16</v>
      </c>
      <c r="B22" t="s">
        <v>77</v>
      </c>
      <c r="C22" s="2">
        <v>3262.8</v>
      </c>
      <c r="D22" s="6">
        <v>551.85256900000002</v>
      </c>
      <c r="E22" s="4">
        <v>18</v>
      </c>
      <c r="F22" s="1">
        <f t="shared" si="0"/>
        <v>30.658476055555557</v>
      </c>
      <c r="G22" s="1">
        <v>8.8879999999999999</v>
      </c>
      <c r="H22" s="1">
        <f t="shared" si="1"/>
        <v>272.49253518177778</v>
      </c>
      <c r="I22" s="2">
        <f t="shared" si="2"/>
        <v>2710.9474310000001</v>
      </c>
      <c r="J22" s="12">
        <f t="shared" si="3"/>
        <v>0.83086533989211719</v>
      </c>
      <c r="K22" s="12">
        <f t="shared" si="28"/>
        <v>4.90190483633689E-2</v>
      </c>
      <c r="L22" s="5">
        <f t="shared" si="29"/>
        <v>4.2</v>
      </c>
      <c r="M22" s="2">
        <f t="shared" si="4"/>
        <v>645.46367404761907</v>
      </c>
      <c r="N22" s="5">
        <v>125</v>
      </c>
      <c r="O22" s="2">
        <f t="shared" si="18"/>
        <v>80.682959255952383</v>
      </c>
      <c r="P22" s="2">
        <f t="shared" si="5"/>
        <v>353.17549443773015</v>
      </c>
      <c r="Q22" s="2">
        <f t="shared" si="26"/>
        <v>1257.9226388956033</v>
      </c>
      <c r="R22" s="2">
        <f>100/L22</f>
        <v>23.80952380952381</v>
      </c>
      <c r="S22" s="2">
        <f>R22*Rough1!$B$25/1000000/1000</f>
        <v>6.1366956428571431</v>
      </c>
      <c r="T22" s="11">
        <f t="shared" si="7"/>
        <v>1.8808065596595387</v>
      </c>
      <c r="U22" s="5">
        <v>75</v>
      </c>
      <c r="V22" s="2">
        <f t="shared" si="8"/>
        <v>0.46025217321428574</v>
      </c>
      <c r="W22" s="11">
        <f>V22/(Q22*Rough1!$B$26)*1000</f>
        <v>3.6588273315310185E-2</v>
      </c>
      <c r="X22" s="8">
        <f>V22/(I22*Rough1!$B$26)*1000</f>
        <v>1.6977539584547025E-2</v>
      </c>
      <c r="Y22" s="4">
        <v>5</v>
      </c>
      <c r="Z22" s="1">
        <f t="shared" si="9"/>
        <v>153.2923802777778</v>
      </c>
      <c r="AA22" s="4">
        <v>0.15</v>
      </c>
      <c r="AB22" s="1">
        <f t="shared" si="10"/>
        <v>96.819551107142857</v>
      </c>
      <c r="AC22" s="1">
        <f t="shared" si="11"/>
        <v>250.11193138492064</v>
      </c>
      <c r="AD22" s="1">
        <f t="shared" si="27"/>
        <v>656.22140194841268</v>
      </c>
      <c r="AE22" s="8">
        <f t="shared" si="13"/>
        <v>7.6655612168971626E-2</v>
      </c>
      <c r="AF22" s="14">
        <f t="shared" si="30"/>
        <v>0.19882934264106028</v>
      </c>
    </row>
    <row r="23" spans="1:32" x14ac:dyDescent="0.25">
      <c r="A23" t="s">
        <v>16</v>
      </c>
      <c r="B23" t="s">
        <v>78</v>
      </c>
      <c r="C23" s="2">
        <v>3262.8</v>
      </c>
      <c r="D23" s="6">
        <v>491.22463800000003</v>
      </c>
      <c r="E23" s="4">
        <v>18</v>
      </c>
      <c r="F23" s="1">
        <f t="shared" si="0"/>
        <v>27.290257666666669</v>
      </c>
      <c r="G23" s="1">
        <v>8.8879999999999999</v>
      </c>
      <c r="H23" s="1">
        <f t="shared" si="1"/>
        <v>242.55581014133335</v>
      </c>
      <c r="I23" s="2">
        <f t="shared" si="2"/>
        <v>2771.575362</v>
      </c>
      <c r="J23" s="12">
        <f t="shared" si="3"/>
        <v>0.84944690511217358</v>
      </c>
      <c r="K23" s="12">
        <f t="shared" si="28"/>
        <v>1.8581565220056384E-2</v>
      </c>
      <c r="L23" s="5">
        <f t="shared" si="29"/>
        <v>4.2</v>
      </c>
      <c r="M23" s="2">
        <f t="shared" si="4"/>
        <v>659.89889571428569</v>
      </c>
      <c r="N23" s="5">
        <v>125</v>
      </c>
      <c r="O23" s="2">
        <f t="shared" si="18"/>
        <v>82.487361964285697</v>
      </c>
      <c r="P23" s="2">
        <f t="shared" si="5"/>
        <v>325.04317210561908</v>
      </c>
      <c r="Q23" s="2">
        <f t="shared" si="26"/>
        <v>1286.0549612277143</v>
      </c>
      <c r="R23" s="2">
        <f>125/L23</f>
        <v>29.761904761904759</v>
      </c>
      <c r="S23" s="2">
        <f>R23*Rough1!$B$25/1000000/1000</f>
        <v>7.6708695535714284</v>
      </c>
      <c r="T23" s="11">
        <f t="shared" si="7"/>
        <v>2.3510081995744234</v>
      </c>
      <c r="U23" s="5">
        <v>75</v>
      </c>
      <c r="V23" s="2">
        <f t="shared" si="8"/>
        <v>0.57531521651785711</v>
      </c>
      <c r="W23" s="11">
        <f>V23/(Q23*Rough1!$B$26)*1000</f>
        <v>4.4734885666833431E-2</v>
      </c>
      <c r="X23" s="8">
        <f>V23/(I23*Rough1!$B$26)*1000</f>
        <v>2.0757697026960981E-2</v>
      </c>
      <c r="Y23" s="4">
        <v>5</v>
      </c>
      <c r="Z23" s="1">
        <f t="shared" si="9"/>
        <v>136.45128833333334</v>
      </c>
      <c r="AA23" s="4">
        <v>0.15</v>
      </c>
      <c r="AB23" s="1">
        <f t="shared" si="10"/>
        <v>98.984834357142844</v>
      </c>
      <c r="AC23" s="1">
        <f t="shared" si="11"/>
        <v>235.43612269047617</v>
      </c>
      <c r="AD23" s="1">
        <f t="shared" si="27"/>
        <v>670.8972106428572</v>
      </c>
      <c r="AE23" s="8">
        <f t="shared" si="13"/>
        <v>7.2157693603799242E-2</v>
      </c>
      <c r="AF23" s="14">
        <f t="shared" si="30"/>
        <v>0.18306847668914583</v>
      </c>
    </row>
    <row r="24" spans="1:32" x14ac:dyDescent="0.25">
      <c r="A24" t="s">
        <v>16</v>
      </c>
      <c r="B24" t="s">
        <v>79</v>
      </c>
      <c r="C24" s="2">
        <v>3262.8</v>
      </c>
      <c r="D24" s="6">
        <v>430.59670599999998</v>
      </c>
      <c r="E24" s="4">
        <v>18</v>
      </c>
      <c r="F24" s="1">
        <f t="shared" si="0"/>
        <v>23.922039222222221</v>
      </c>
      <c r="G24" s="1">
        <v>8.8879999999999999</v>
      </c>
      <c r="H24" s="1">
        <f t="shared" si="1"/>
        <v>212.61908460711109</v>
      </c>
      <c r="I24" s="2">
        <f t="shared" si="2"/>
        <v>2832.2032940000004</v>
      </c>
      <c r="J24" s="12">
        <f t="shared" si="3"/>
        <v>0.86802847063871524</v>
      </c>
      <c r="K24" s="12">
        <f t="shared" si="28"/>
        <v>1.8581565526541666E-2</v>
      </c>
      <c r="L24" s="5">
        <f t="shared" si="29"/>
        <v>4.2</v>
      </c>
      <c r="M24" s="2">
        <f t="shared" si="4"/>
        <v>674.33411761904767</v>
      </c>
      <c r="N24" s="5">
        <v>125</v>
      </c>
      <c r="O24" s="2">
        <f t="shared" si="18"/>
        <v>84.291764702380959</v>
      </c>
      <c r="P24" s="2">
        <f t="shared" si="5"/>
        <v>296.91084930949205</v>
      </c>
      <c r="Q24" s="2">
        <f t="shared" si="26"/>
        <v>1314.1872840238414</v>
      </c>
      <c r="R24" s="2">
        <f>150/L24</f>
        <v>35.714285714285715</v>
      </c>
      <c r="S24" s="2">
        <f>R24*Rough1!$B$25/1000000/1000</f>
        <v>9.2050434642857137</v>
      </c>
      <c r="T24" s="11">
        <f t="shared" si="7"/>
        <v>2.8212098394893079</v>
      </c>
      <c r="U24" s="5">
        <v>75</v>
      </c>
      <c r="V24" s="2">
        <f t="shared" si="8"/>
        <v>0.69037825982142853</v>
      </c>
      <c r="W24" s="11">
        <f>V24/(Q24*Rough1!$B$26)*1000</f>
        <v>5.2532714949698453E-2</v>
      </c>
      <c r="X24" s="8">
        <f>V24/(I24*Rough1!$B$26)*1000</f>
        <v>2.4376013589278329E-2</v>
      </c>
      <c r="Y24" s="4">
        <v>5</v>
      </c>
      <c r="Z24" s="1">
        <f t="shared" si="9"/>
        <v>119.61019611111111</v>
      </c>
      <c r="AA24" s="4">
        <v>0.15</v>
      </c>
      <c r="AB24" s="1">
        <f t="shared" si="10"/>
        <v>101.15011764285715</v>
      </c>
      <c r="AC24" s="1">
        <f t="shared" si="11"/>
        <v>220.76031375396826</v>
      </c>
      <c r="AD24" s="1">
        <f t="shared" si="27"/>
        <v>685.57301957936511</v>
      </c>
      <c r="AE24" s="8">
        <f t="shared" si="13"/>
        <v>6.765977496443798E-2</v>
      </c>
      <c r="AF24" s="14">
        <f t="shared" si="30"/>
        <v>0.16798238457918555</v>
      </c>
    </row>
    <row r="25" spans="1:32" x14ac:dyDescent="0.25">
      <c r="A25" t="s">
        <v>16</v>
      </c>
      <c r="B25" t="s">
        <v>13</v>
      </c>
      <c r="C25" s="2">
        <v>3262.8</v>
      </c>
      <c r="D25" s="6">
        <f>C25*0</f>
        <v>0</v>
      </c>
      <c r="E25" s="4">
        <v>18</v>
      </c>
      <c r="F25" s="1">
        <f t="shared" si="0"/>
        <v>0</v>
      </c>
      <c r="G25" s="1">
        <v>8.8879999999999999</v>
      </c>
      <c r="H25" s="1">
        <f t="shared" si="1"/>
        <v>0</v>
      </c>
      <c r="I25" s="2">
        <f t="shared" si="2"/>
        <v>3262.8</v>
      </c>
      <c r="J25" s="12">
        <f t="shared" si="3"/>
        <v>1</v>
      </c>
      <c r="K25" s="12">
        <f t="shared" si="28"/>
        <v>0.13197152936128476</v>
      </c>
      <c r="L25" s="5">
        <f t="shared" si="29"/>
        <v>4.2</v>
      </c>
      <c r="M25" s="2">
        <f t="shared" si="4"/>
        <v>776.85714285714289</v>
      </c>
      <c r="N25" s="5">
        <v>125</v>
      </c>
      <c r="O25" s="2">
        <f t="shared" si="18"/>
        <v>97.107142857142847</v>
      </c>
      <c r="P25" s="2">
        <f t="shared" si="5"/>
        <v>97.107142857142847</v>
      </c>
      <c r="Q25" s="2">
        <f t="shared" si="26"/>
        <v>1513.9909904761905</v>
      </c>
      <c r="R25" s="2">
        <f>300/L25</f>
        <v>71.428571428571431</v>
      </c>
      <c r="S25" s="2">
        <f>R25*Rough1!$B$25/1000000/1000</f>
        <v>18.410086928571427</v>
      </c>
      <c r="T25" s="11">
        <f t="shared" si="7"/>
        <v>5.6424196789786158</v>
      </c>
      <c r="U25" s="5">
        <v>75</v>
      </c>
      <c r="V25" s="2">
        <f t="shared" si="8"/>
        <v>1.3807565196428571</v>
      </c>
      <c r="W25" s="11">
        <f>V25/(Q25*Rough1!$B$26)*1000</f>
        <v>9.1199784432572623E-2</v>
      </c>
      <c r="X25" s="8">
        <f>V25/(I25*Rough1!$B$26)*1000</f>
        <v>4.2318147592339622E-2</v>
      </c>
      <c r="Y25" s="4">
        <v>5</v>
      </c>
      <c r="Z25" s="1">
        <f t="shared" si="9"/>
        <v>0</v>
      </c>
      <c r="AA25" s="4">
        <v>0.15</v>
      </c>
      <c r="AB25" s="1">
        <f t="shared" si="10"/>
        <v>116.52857142857142</v>
      </c>
      <c r="AC25" s="1">
        <f t="shared" si="11"/>
        <v>116.52857142857142</v>
      </c>
      <c r="AD25" s="1">
        <f t="shared" si="27"/>
        <v>789.8047619047619</v>
      </c>
      <c r="AE25" s="8">
        <f t="shared" si="13"/>
        <v>3.5714285714285712E-2</v>
      </c>
      <c r="AF25" s="14">
        <f t="shared" si="30"/>
        <v>7.6967810351315294E-2</v>
      </c>
    </row>
    <row r="52" spans="9:13" x14ac:dyDescent="0.25">
      <c r="J52">
        <f t="shared" ref="J52:J59" si="31">I10/C10</f>
        <v>0</v>
      </c>
    </row>
    <row r="53" spans="9:13" x14ac:dyDescent="0.25">
      <c r="I53">
        <v>25</v>
      </c>
      <c r="J53">
        <f t="shared" si="31"/>
        <v>0.59358503677822738</v>
      </c>
      <c r="M53">
        <f>J53-J52</f>
        <v>0.59358503677822738</v>
      </c>
    </row>
    <row r="54" spans="9:13" x14ac:dyDescent="0.25">
      <c r="I54">
        <v>50</v>
      </c>
      <c r="J54">
        <f t="shared" si="31"/>
        <v>0.73282724347186456</v>
      </c>
      <c r="M54">
        <f t="shared" ref="M54:M59" si="32">J54-J53</f>
        <v>0.13924220669363718</v>
      </c>
    </row>
    <row r="55" spans="9:13" x14ac:dyDescent="0.25">
      <c r="I55">
        <v>75</v>
      </c>
      <c r="J55">
        <f t="shared" si="31"/>
        <v>0.78184629152874829</v>
      </c>
      <c r="M55">
        <f t="shared" si="32"/>
        <v>4.9019048056883729E-2</v>
      </c>
    </row>
    <row r="56" spans="9:13" x14ac:dyDescent="0.25">
      <c r="I56">
        <v>100</v>
      </c>
      <c r="J56">
        <f t="shared" si="31"/>
        <v>0.83086533989211719</v>
      </c>
      <c r="M56">
        <f t="shared" si="32"/>
        <v>4.90190483633689E-2</v>
      </c>
    </row>
    <row r="57" spans="9:13" x14ac:dyDescent="0.25">
      <c r="I57">
        <v>125</v>
      </c>
      <c r="J57">
        <f t="shared" si="31"/>
        <v>0.84944690511217358</v>
      </c>
      <c r="M57">
        <f t="shared" si="32"/>
        <v>1.8581565220056384E-2</v>
      </c>
    </row>
    <row r="58" spans="9:13" x14ac:dyDescent="0.25">
      <c r="I58">
        <v>150</v>
      </c>
      <c r="J58">
        <f t="shared" si="31"/>
        <v>0.86802847063871524</v>
      </c>
      <c r="M58">
        <f t="shared" si="32"/>
        <v>1.8581565526541666E-2</v>
      </c>
    </row>
    <row r="59" spans="9:13" x14ac:dyDescent="0.25">
      <c r="J59">
        <f t="shared" si="31"/>
        <v>1</v>
      </c>
      <c r="M59">
        <f t="shared" si="32"/>
        <v>0.13197152936128476</v>
      </c>
    </row>
    <row r="77" spans="3:7" x14ac:dyDescent="0.25">
      <c r="C77" t="s">
        <v>71</v>
      </c>
      <c r="D77" s="7" t="s">
        <v>72</v>
      </c>
      <c r="E77" t="s">
        <v>30</v>
      </c>
      <c r="F77" t="s">
        <v>83</v>
      </c>
      <c r="G77" t="s">
        <v>91</v>
      </c>
    </row>
    <row r="78" spans="3:7" x14ac:dyDescent="0.25">
      <c r="C78" t="s">
        <v>12</v>
      </c>
      <c r="D78" t="s">
        <v>73</v>
      </c>
      <c r="E78">
        <v>181.26666666666668</v>
      </c>
      <c r="F78">
        <v>0</v>
      </c>
      <c r="G78">
        <v>181.26666666666668</v>
      </c>
    </row>
    <row r="79" spans="3:7" x14ac:dyDescent="0.25">
      <c r="C79" t="s">
        <v>12</v>
      </c>
      <c r="D79" t="s">
        <v>76</v>
      </c>
      <c r="E79">
        <v>73.66948566666666</v>
      </c>
      <c r="F79">
        <v>267.13782868965524</v>
      </c>
      <c r="G79">
        <v>340.80731435632191</v>
      </c>
    </row>
    <row r="80" spans="3:7" x14ac:dyDescent="0.25">
      <c r="C80" t="s">
        <v>12</v>
      </c>
      <c r="D80" t="s">
        <v>75</v>
      </c>
      <c r="E80">
        <v>48.429515000000002</v>
      </c>
      <c r="F80">
        <v>329.80258344827587</v>
      </c>
      <c r="G80">
        <v>378.23209844827585</v>
      </c>
    </row>
    <row r="81" spans="3:7" x14ac:dyDescent="0.25">
      <c r="C81" t="s">
        <v>12</v>
      </c>
      <c r="D81" t="s">
        <v>74</v>
      </c>
      <c r="E81">
        <v>39.543995555555554</v>
      </c>
      <c r="F81">
        <v>351.86318344827589</v>
      </c>
      <c r="G81">
        <v>391.40717900383146</v>
      </c>
    </row>
    <row r="82" spans="3:7" x14ac:dyDescent="0.25">
      <c r="C82" t="s">
        <v>12</v>
      </c>
      <c r="D82" t="s">
        <v>77</v>
      </c>
      <c r="E82">
        <v>30.658476055555557</v>
      </c>
      <c r="F82">
        <v>373.92378358620692</v>
      </c>
      <c r="G82">
        <v>404.5822596417625</v>
      </c>
    </row>
    <row r="83" spans="3:7" x14ac:dyDescent="0.25">
      <c r="C83" t="s">
        <v>12</v>
      </c>
      <c r="D83" t="s">
        <v>78</v>
      </c>
      <c r="E83">
        <v>27.290257666666669</v>
      </c>
      <c r="F83">
        <v>382.28625682758621</v>
      </c>
      <c r="G83">
        <v>409.57651449425288</v>
      </c>
    </row>
    <row r="84" spans="3:7" x14ac:dyDescent="0.25">
      <c r="C84" t="s">
        <v>12</v>
      </c>
      <c r="D84" t="s">
        <v>79</v>
      </c>
      <c r="E84">
        <v>23.922039222222221</v>
      </c>
      <c r="F84">
        <v>390.64873020689663</v>
      </c>
      <c r="G84">
        <v>414.57076942911885</v>
      </c>
    </row>
    <row r="85" spans="3:7" x14ac:dyDescent="0.25">
      <c r="C85" t="s">
        <v>12</v>
      </c>
      <c r="D85" t="s">
        <v>13</v>
      </c>
      <c r="E85">
        <v>0</v>
      </c>
      <c r="F85">
        <v>450.04137931034484</v>
      </c>
      <c r="G85">
        <v>450.04137931034484</v>
      </c>
    </row>
    <row r="86" spans="3:7" x14ac:dyDescent="0.25">
      <c r="C86" t="s">
        <v>15</v>
      </c>
      <c r="D86" t="s">
        <v>73</v>
      </c>
      <c r="E86">
        <v>370.77272727272731</v>
      </c>
      <c r="F86">
        <v>0</v>
      </c>
      <c r="G86">
        <v>370.77272727272731</v>
      </c>
    </row>
    <row r="87" spans="3:7" x14ac:dyDescent="0.25">
      <c r="C87" t="s">
        <v>15</v>
      </c>
      <c r="D87" t="s">
        <v>76</v>
      </c>
      <c r="E87">
        <v>150.68758431818179</v>
      </c>
      <c r="F87">
        <v>134.49647625000003</v>
      </c>
      <c r="G87">
        <v>285.18406056818185</v>
      </c>
    </row>
    <row r="88" spans="3:7" x14ac:dyDescent="0.25">
      <c r="C88" t="s">
        <v>15</v>
      </c>
      <c r="D88" t="s">
        <v>75</v>
      </c>
      <c r="E88">
        <v>99.060371590909085</v>
      </c>
      <c r="F88">
        <v>166.04643958333332</v>
      </c>
      <c r="G88">
        <v>265.10681117424241</v>
      </c>
    </row>
    <row r="89" spans="3:7" x14ac:dyDescent="0.25">
      <c r="C89" t="s">
        <v>15</v>
      </c>
      <c r="D89" t="s">
        <v>74</v>
      </c>
      <c r="E89">
        <v>80.885445454545462</v>
      </c>
      <c r="F89">
        <v>177.1533388888889</v>
      </c>
      <c r="G89">
        <v>258.03878434343437</v>
      </c>
    </row>
    <row r="90" spans="3:7" x14ac:dyDescent="0.25">
      <c r="C90" t="s">
        <v>15</v>
      </c>
      <c r="D90" t="s">
        <v>77</v>
      </c>
      <c r="E90">
        <v>62.710519204545456</v>
      </c>
      <c r="F90">
        <v>188.26023826388888</v>
      </c>
      <c r="G90">
        <v>250.97075746843433</v>
      </c>
    </row>
    <row r="91" spans="3:7" x14ac:dyDescent="0.25">
      <c r="C91" t="s">
        <v>15</v>
      </c>
      <c r="D91" t="s">
        <v>78</v>
      </c>
      <c r="E91">
        <v>55.820981590909099</v>
      </c>
      <c r="F91">
        <v>192.47051124999999</v>
      </c>
      <c r="G91">
        <v>248.29149284090909</v>
      </c>
    </row>
    <row r="92" spans="3:7" x14ac:dyDescent="0.25">
      <c r="C92" t="s">
        <v>15</v>
      </c>
      <c r="D92" t="s">
        <v>79</v>
      </c>
      <c r="E92">
        <v>48.93144386363636</v>
      </c>
      <c r="F92">
        <v>196.68078430555556</v>
      </c>
      <c r="G92">
        <v>245.61222816919192</v>
      </c>
    </row>
    <row r="93" spans="3:7" x14ac:dyDescent="0.25">
      <c r="C93" t="s">
        <v>15</v>
      </c>
      <c r="D93" t="s">
        <v>13</v>
      </c>
      <c r="E93">
        <v>0</v>
      </c>
      <c r="F93">
        <v>135.94999999999999</v>
      </c>
      <c r="G93">
        <v>135.94999999999999</v>
      </c>
    </row>
    <row r="94" spans="3:7" x14ac:dyDescent="0.25">
      <c r="C94" t="s">
        <v>16</v>
      </c>
      <c r="D94" t="s">
        <v>73</v>
      </c>
      <c r="E94">
        <v>906.33333333333337</v>
      </c>
      <c r="F94">
        <v>0</v>
      </c>
      <c r="G94">
        <v>906.33333333333337</v>
      </c>
    </row>
    <row r="95" spans="3:7" x14ac:dyDescent="0.25">
      <c r="C95" t="s">
        <v>16</v>
      </c>
      <c r="D95" t="s">
        <v>76</v>
      </c>
      <c r="E95">
        <v>368.34742833333331</v>
      </c>
      <c r="F95">
        <v>69.169616357142871</v>
      </c>
      <c r="G95">
        <v>437.51704469047615</v>
      </c>
    </row>
    <row r="96" spans="3:7" x14ac:dyDescent="0.25">
      <c r="C96" t="s">
        <v>16</v>
      </c>
      <c r="D96" t="s">
        <v>75</v>
      </c>
      <c r="E96">
        <v>242.14757500000002</v>
      </c>
      <c r="F96">
        <v>85.39531178571427</v>
      </c>
      <c r="G96">
        <v>327.5428867857143</v>
      </c>
    </row>
    <row r="97" spans="3:7" x14ac:dyDescent="0.25">
      <c r="C97" t="s">
        <v>16</v>
      </c>
      <c r="D97" t="s">
        <v>74</v>
      </c>
      <c r="E97">
        <v>197.71997777777779</v>
      </c>
      <c r="F97">
        <v>91.107431428571417</v>
      </c>
      <c r="G97">
        <v>288.82740920634922</v>
      </c>
    </row>
    <row r="98" spans="3:7" x14ac:dyDescent="0.25">
      <c r="C98" t="s">
        <v>16</v>
      </c>
      <c r="D98" t="s">
        <v>77</v>
      </c>
      <c r="E98">
        <v>153.2923802777778</v>
      </c>
      <c r="F98">
        <v>96.819551107142857</v>
      </c>
      <c r="G98">
        <v>250.11193138492064</v>
      </c>
    </row>
    <row r="99" spans="3:7" x14ac:dyDescent="0.25">
      <c r="C99" t="s">
        <v>16</v>
      </c>
      <c r="D99" t="s">
        <v>78</v>
      </c>
      <c r="E99">
        <v>136.45128833333334</v>
      </c>
      <c r="F99">
        <v>98.984834357142844</v>
      </c>
      <c r="G99">
        <v>235.43612269047617</v>
      </c>
    </row>
    <row r="100" spans="3:7" x14ac:dyDescent="0.25">
      <c r="C100" t="s">
        <v>16</v>
      </c>
      <c r="D100" t="s">
        <v>79</v>
      </c>
      <c r="E100">
        <v>119.61019611111111</v>
      </c>
      <c r="F100">
        <v>101.15011764285715</v>
      </c>
      <c r="G100">
        <v>220.76031375396826</v>
      </c>
    </row>
    <row r="101" spans="3:7" x14ac:dyDescent="0.25">
      <c r="C101" t="s">
        <v>16</v>
      </c>
      <c r="D101" t="s">
        <v>13</v>
      </c>
      <c r="E101">
        <v>0</v>
      </c>
      <c r="F101">
        <v>116.52857142857142</v>
      </c>
      <c r="G101">
        <v>116.52857142857142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D19" sqref="D19"/>
    </sheetView>
  </sheetViews>
  <sheetFormatPr defaultRowHeight="13.8" x14ac:dyDescent="0.25"/>
  <sheetData>
    <row r="1" spans="1:3" x14ac:dyDescent="0.25">
      <c r="B1" s="25" t="s">
        <v>106</v>
      </c>
      <c r="C1" s="25" t="s">
        <v>100</v>
      </c>
    </row>
    <row r="2" spans="1:3" x14ac:dyDescent="0.25">
      <c r="A2">
        <v>1</v>
      </c>
      <c r="B2" s="26" t="s">
        <v>1</v>
      </c>
      <c r="C2" s="27">
        <f>Rough1!J2</f>
        <v>1.1003896804690609</v>
      </c>
    </row>
    <row r="3" spans="1:3" x14ac:dyDescent="0.25">
      <c r="A3">
        <v>2</v>
      </c>
      <c r="B3" s="26" t="s">
        <v>105</v>
      </c>
      <c r="C3" s="27">
        <f>'Calcs by Scenario'!P14/1000</f>
        <v>0.44784861655999997</v>
      </c>
    </row>
    <row r="4" spans="1:3" x14ac:dyDescent="0.25">
      <c r="A4">
        <v>3</v>
      </c>
      <c r="B4" s="26" t="s">
        <v>10</v>
      </c>
      <c r="C4" s="27">
        <f>Rough1!J5</f>
        <v>0.28776514436527534</v>
      </c>
    </row>
    <row r="5" spans="1:3" x14ac:dyDescent="0.25">
      <c r="A5">
        <v>4</v>
      </c>
      <c r="B5" s="26" t="s">
        <v>44</v>
      </c>
      <c r="C5" s="27">
        <f>Rough1!J17</f>
        <v>0.21930000000000002</v>
      </c>
    </row>
    <row r="6" spans="1:3" x14ac:dyDescent="0.25">
      <c r="A6">
        <v>5</v>
      </c>
      <c r="B6" s="26" t="s">
        <v>102</v>
      </c>
      <c r="C6" s="27">
        <f>Rough1!J4</f>
        <v>0.17553220296947847</v>
      </c>
    </row>
    <row r="7" spans="1:3" x14ac:dyDescent="0.25">
      <c r="A7">
        <v>6</v>
      </c>
      <c r="B7" s="26" t="s">
        <v>101</v>
      </c>
      <c r="C7" s="27">
        <f>Rough1!J16</f>
        <v>0.1704</v>
      </c>
    </row>
    <row r="8" spans="1:3" x14ac:dyDescent="0.25">
      <c r="A8">
        <v>7</v>
      </c>
      <c r="B8" s="26" t="s">
        <v>103</v>
      </c>
      <c r="C8" s="27">
        <f>Rough1!J18</f>
        <v>6.93E-2</v>
      </c>
    </row>
    <row r="9" spans="1:3" x14ac:dyDescent="0.25">
      <c r="A9">
        <v>8</v>
      </c>
      <c r="B9" s="26" t="s">
        <v>104</v>
      </c>
      <c r="C9" s="27">
        <f>Rough1!J15</f>
        <v>4.99E-2</v>
      </c>
    </row>
    <row r="10" spans="1:3" x14ac:dyDescent="0.25">
      <c r="A10">
        <v>9</v>
      </c>
      <c r="B10" s="26" t="s">
        <v>37</v>
      </c>
      <c r="C10" s="27">
        <f>Rough1!J14</f>
        <v>3.2500000000000001E-2</v>
      </c>
    </row>
    <row r="11" spans="1:3" x14ac:dyDescent="0.25">
      <c r="A11">
        <v>10</v>
      </c>
      <c r="B11" s="26" t="s">
        <v>8</v>
      </c>
      <c r="C11" s="27">
        <f>Rough1!J3</f>
        <v>2.5436878117567563E-2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A26" sqref="A26:B26"/>
    </sheetView>
  </sheetViews>
  <sheetFormatPr defaultRowHeight="13.8" x14ac:dyDescent="0.25"/>
  <sheetData>
    <row r="1" spans="1:11" x14ac:dyDescent="0.25"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11</v>
      </c>
      <c r="J1" t="s">
        <v>100</v>
      </c>
    </row>
    <row r="2" spans="1:11" x14ac:dyDescent="0.25">
      <c r="A2">
        <v>2022</v>
      </c>
      <c r="B2" t="s">
        <v>1</v>
      </c>
      <c r="C2">
        <v>257741217</v>
      </c>
      <c r="D2">
        <v>10952</v>
      </c>
      <c r="E2" s="2">
        <f>C2*D2/1000000000</f>
        <v>2822.7818085839999</v>
      </c>
      <c r="F2">
        <v>22.8</v>
      </c>
      <c r="G2" s="2">
        <f>E2/F2</f>
        <v>123.80621967473684</v>
      </c>
      <c r="H2">
        <v>8.8879999999999999</v>
      </c>
      <c r="I2" s="2">
        <f>G2*H2</f>
        <v>1100.389680469061</v>
      </c>
      <c r="J2" s="11">
        <f t="shared" ref="J2:J19" si="0">I2/1000</f>
        <v>1.1003896804690609</v>
      </c>
      <c r="K2" t="s">
        <v>1</v>
      </c>
    </row>
    <row r="3" spans="1:11" x14ac:dyDescent="0.25">
      <c r="A3">
        <v>2022</v>
      </c>
      <c r="B3" t="s">
        <v>8</v>
      </c>
      <c r="C3">
        <v>958055</v>
      </c>
      <c r="D3">
        <v>19300</v>
      </c>
      <c r="E3" s="2">
        <f>C3*D3/1000000000</f>
        <v>18.490461499999999</v>
      </c>
      <c r="F3">
        <v>7.4</v>
      </c>
      <c r="G3" s="2">
        <f>E3/F3</f>
        <v>2.4987110135135131</v>
      </c>
      <c r="H3">
        <v>10.18</v>
      </c>
      <c r="I3" s="2">
        <f>G3*H3</f>
        <v>25.436878117567563</v>
      </c>
      <c r="J3" s="11">
        <f t="shared" si="0"/>
        <v>2.5436878117567563E-2</v>
      </c>
      <c r="K3" t="s">
        <v>8</v>
      </c>
    </row>
    <row r="4" spans="1:11" x14ac:dyDescent="0.25">
      <c r="A4">
        <v>2022</v>
      </c>
      <c r="B4" t="s">
        <v>9</v>
      </c>
      <c r="C4">
        <v>11049522</v>
      </c>
      <c r="D4">
        <v>12328</v>
      </c>
      <c r="E4" s="2">
        <f>C4*D4/1000000000</f>
        <v>136.21850721600001</v>
      </c>
      <c r="F4">
        <v>7.9</v>
      </c>
      <c r="G4" s="2">
        <f>E4/F4</f>
        <v>17.242849014683543</v>
      </c>
      <c r="H4">
        <v>10.18</v>
      </c>
      <c r="I4" s="2">
        <f>G4*H4</f>
        <v>175.53220296947848</v>
      </c>
      <c r="J4" s="11">
        <f t="shared" si="0"/>
        <v>0.17553220296947847</v>
      </c>
      <c r="K4" t="s">
        <v>9</v>
      </c>
    </row>
    <row r="5" spans="1:11" x14ac:dyDescent="0.25">
      <c r="A5">
        <v>2022</v>
      </c>
      <c r="B5" t="s">
        <v>10</v>
      </c>
      <c r="C5">
        <v>3239716</v>
      </c>
      <c r="D5">
        <v>60205</v>
      </c>
      <c r="E5" s="2">
        <f>C5*D5/1000000000</f>
        <v>195.04710177999999</v>
      </c>
      <c r="F5">
        <v>6.9</v>
      </c>
      <c r="G5" s="2">
        <f>E5/F5</f>
        <v>28.267695910144926</v>
      </c>
      <c r="H5">
        <v>10.18</v>
      </c>
      <c r="I5" s="2">
        <f>G5*H5</f>
        <v>287.76514436527532</v>
      </c>
      <c r="J5" s="11">
        <f t="shared" si="0"/>
        <v>0.28776514436527534</v>
      </c>
      <c r="K5" t="s">
        <v>10</v>
      </c>
    </row>
    <row r="6" spans="1:11" x14ac:dyDescent="0.25">
      <c r="A6">
        <v>2022</v>
      </c>
      <c r="B6" t="s">
        <v>41</v>
      </c>
      <c r="E6" s="2"/>
      <c r="G6" s="2">
        <v>1.2</v>
      </c>
      <c r="H6" s="1">
        <f t="shared" ref="H6:H16" si="1">I6/G6</f>
        <v>9.0000000000000018</v>
      </c>
      <c r="I6" s="2">
        <v>10.8</v>
      </c>
      <c r="J6" s="11">
        <f t="shared" si="0"/>
        <v>1.0800000000000001E-2</v>
      </c>
      <c r="K6" t="s">
        <v>41</v>
      </c>
    </row>
    <row r="7" spans="1:11" x14ac:dyDescent="0.25">
      <c r="A7">
        <v>2022</v>
      </c>
      <c r="B7" t="s">
        <v>33</v>
      </c>
      <c r="E7" s="2"/>
      <c r="G7" s="2">
        <v>13.7</v>
      </c>
      <c r="H7" s="1">
        <f t="shared" si="1"/>
        <v>9.4671532846715323</v>
      </c>
      <c r="I7" s="2">
        <v>129.69999999999999</v>
      </c>
      <c r="J7" s="11">
        <f t="shared" si="0"/>
        <v>0.12969999999999998</v>
      </c>
      <c r="K7" t="s">
        <v>33</v>
      </c>
    </row>
    <row r="8" spans="1:11" x14ac:dyDescent="0.25">
      <c r="A8">
        <v>2022</v>
      </c>
      <c r="B8" t="s">
        <v>34</v>
      </c>
      <c r="E8" s="2"/>
      <c r="G8" s="2">
        <v>2.1</v>
      </c>
      <c r="H8" s="1">
        <f t="shared" si="1"/>
        <v>11.666666666666666</v>
      </c>
      <c r="I8" s="2">
        <v>24.5</v>
      </c>
      <c r="J8" s="11">
        <f t="shared" si="0"/>
        <v>2.4500000000000001E-2</v>
      </c>
      <c r="K8" t="s">
        <v>34</v>
      </c>
    </row>
    <row r="9" spans="1:11" x14ac:dyDescent="0.25">
      <c r="A9">
        <v>2022</v>
      </c>
      <c r="B9" t="s">
        <v>35</v>
      </c>
      <c r="E9" s="2"/>
      <c r="G9" s="2">
        <v>1.1000000000000001</v>
      </c>
      <c r="H9" s="1">
        <f t="shared" si="1"/>
        <v>12.09090909090909</v>
      </c>
      <c r="I9" s="2">
        <v>13.3</v>
      </c>
      <c r="J9" s="11">
        <f t="shared" si="0"/>
        <v>1.3300000000000001E-2</v>
      </c>
      <c r="K9" t="s">
        <v>35</v>
      </c>
    </row>
    <row r="10" spans="1:11" x14ac:dyDescent="0.25">
      <c r="A10">
        <v>2022</v>
      </c>
      <c r="B10" t="s">
        <v>40</v>
      </c>
      <c r="G10" s="2">
        <v>0.2</v>
      </c>
      <c r="H10" s="1">
        <f t="shared" si="1"/>
        <v>7.5</v>
      </c>
      <c r="I10" s="2">
        <v>1.5</v>
      </c>
      <c r="J10" s="11">
        <f t="shared" si="0"/>
        <v>1.5E-3</v>
      </c>
      <c r="K10" t="s">
        <v>40</v>
      </c>
    </row>
    <row r="11" spans="1:11" x14ac:dyDescent="0.25">
      <c r="A11">
        <v>2022</v>
      </c>
      <c r="B11" t="s">
        <v>36</v>
      </c>
      <c r="G11" s="2">
        <v>2</v>
      </c>
      <c r="H11" s="1">
        <f t="shared" si="1"/>
        <v>11.45</v>
      </c>
      <c r="I11" s="2">
        <v>22.9</v>
      </c>
      <c r="J11" s="11">
        <f t="shared" si="0"/>
        <v>2.29E-2</v>
      </c>
      <c r="K11" t="s">
        <v>36</v>
      </c>
    </row>
    <row r="12" spans="1:11" x14ac:dyDescent="0.25">
      <c r="A12">
        <v>2022</v>
      </c>
      <c r="B12" t="s">
        <v>38</v>
      </c>
      <c r="G12" s="2">
        <v>0.3</v>
      </c>
      <c r="H12" s="1">
        <f t="shared" si="1"/>
        <v>10</v>
      </c>
      <c r="I12" s="2">
        <v>3</v>
      </c>
      <c r="J12" s="11">
        <f t="shared" si="0"/>
        <v>3.0000000000000001E-3</v>
      </c>
      <c r="K12" t="s">
        <v>38</v>
      </c>
    </row>
    <row r="13" spans="1:11" x14ac:dyDescent="0.25">
      <c r="A13">
        <v>2022</v>
      </c>
      <c r="B13" t="s">
        <v>39</v>
      </c>
      <c r="G13" s="2">
        <v>0.8</v>
      </c>
      <c r="H13" s="1">
        <f t="shared" si="1"/>
        <v>9.75</v>
      </c>
      <c r="I13" s="2">
        <v>7.8</v>
      </c>
      <c r="J13" s="11">
        <f t="shared" si="0"/>
        <v>7.7999999999999996E-3</v>
      </c>
      <c r="K13" t="s">
        <v>39</v>
      </c>
    </row>
    <row r="14" spans="1:11" x14ac:dyDescent="0.25">
      <c r="A14">
        <v>2022</v>
      </c>
      <c r="B14" s="3" t="s">
        <v>37</v>
      </c>
      <c r="G14" s="2">
        <v>3.2</v>
      </c>
      <c r="H14" s="1">
        <f t="shared" si="1"/>
        <v>10.15625</v>
      </c>
      <c r="I14" s="2">
        <v>32.5</v>
      </c>
      <c r="J14" s="11">
        <f t="shared" si="0"/>
        <v>3.2500000000000001E-2</v>
      </c>
      <c r="K14" s="3" t="s">
        <v>37</v>
      </c>
    </row>
    <row r="15" spans="1:11" x14ac:dyDescent="0.25">
      <c r="A15">
        <v>2022</v>
      </c>
      <c r="B15" s="3" t="s">
        <v>42</v>
      </c>
      <c r="G15" s="2">
        <f>G6+G11+G12+G13</f>
        <v>4.3</v>
      </c>
      <c r="H15" s="1">
        <f t="shared" si="1"/>
        <v>11.604651162790697</v>
      </c>
      <c r="I15" s="2">
        <v>49.9</v>
      </c>
      <c r="J15" s="11">
        <f t="shared" si="0"/>
        <v>4.99E-2</v>
      </c>
      <c r="K15" s="3" t="s">
        <v>42</v>
      </c>
    </row>
    <row r="16" spans="1:11" x14ac:dyDescent="0.25">
      <c r="A16">
        <v>2022</v>
      </c>
      <c r="B16" s="3" t="s">
        <v>43</v>
      </c>
      <c r="G16" s="2">
        <f>G7+G8+G9+G10</f>
        <v>17.099999999999998</v>
      </c>
      <c r="H16" s="1">
        <f t="shared" si="1"/>
        <v>9.9649122807017552</v>
      </c>
      <c r="I16" s="2">
        <v>170.4</v>
      </c>
      <c r="J16" s="11">
        <f t="shared" si="0"/>
        <v>0.1704</v>
      </c>
      <c r="K16" s="3" t="s">
        <v>43</v>
      </c>
    </row>
    <row r="17" spans="1:11" x14ac:dyDescent="0.25">
      <c r="A17">
        <v>2022</v>
      </c>
      <c r="B17" s="3" t="s">
        <v>44</v>
      </c>
      <c r="I17">
        <v>219.3</v>
      </c>
      <c r="J17" s="11">
        <f t="shared" si="0"/>
        <v>0.21930000000000002</v>
      </c>
      <c r="K17" s="3" t="s">
        <v>44</v>
      </c>
    </row>
    <row r="18" spans="1:11" x14ac:dyDescent="0.25">
      <c r="A18">
        <v>2022</v>
      </c>
      <c r="B18" s="3" t="s">
        <v>45</v>
      </c>
      <c r="I18">
        <v>69.3</v>
      </c>
      <c r="J18" s="11">
        <f t="shared" si="0"/>
        <v>6.93E-2</v>
      </c>
      <c r="K18" s="3" t="s">
        <v>45</v>
      </c>
    </row>
    <row r="19" spans="1:11" x14ac:dyDescent="0.25">
      <c r="A19">
        <v>2022</v>
      </c>
      <c r="B19" s="7" t="s">
        <v>46</v>
      </c>
      <c r="I19" s="2">
        <v>8.4</v>
      </c>
      <c r="J19" s="11">
        <f t="shared" si="0"/>
        <v>8.4000000000000012E-3</v>
      </c>
      <c r="K19" s="2"/>
    </row>
    <row r="25" spans="1:11" x14ac:dyDescent="0.25">
      <c r="A25" t="s">
        <v>2</v>
      </c>
      <c r="B25">
        <v>257741217</v>
      </c>
    </row>
    <row r="26" spans="1:11" x14ac:dyDescent="0.25">
      <c r="A26" t="s">
        <v>47</v>
      </c>
      <c r="B26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4"/>
  <sheetViews>
    <sheetView tabSelected="1" zoomScale="70" zoomScaleNormal="70" workbookViewId="0">
      <selection activeCell="H39" sqref="H39"/>
    </sheetView>
  </sheetViews>
  <sheetFormatPr defaultRowHeight="13.8" x14ac:dyDescent="0.25"/>
  <cols>
    <col min="1" max="1" width="11.3984375" bestFit="1" customWidth="1"/>
    <col min="2" max="2" width="20.3984375" bestFit="1" customWidth="1"/>
    <col min="3" max="3" width="16" customWidth="1"/>
    <col min="4" max="4" width="17.09765625" customWidth="1"/>
    <col min="5" max="6" width="20.8984375" customWidth="1"/>
    <col min="7" max="7" width="29.3984375" customWidth="1"/>
    <col min="8" max="8" width="43.8984375" customWidth="1"/>
    <col min="9" max="11" width="36.69921875" customWidth="1"/>
    <col min="12" max="12" width="22" bestFit="1" customWidth="1"/>
    <col min="13" max="13" width="20.296875" bestFit="1" customWidth="1"/>
    <col min="14" max="14" width="25.3984375" bestFit="1" customWidth="1"/>
    <col min="15" max="15" width="25.8984375" bestFit="1" customWidth="1"/>
    <col min="16" max="16" width="24.3984375" customWidth="1"/>
    <col min="17" max="17" width="34" customWidth="1"/>
    <col min="18" max="18" width="34.09765625" customWidth="1"/>
    <col min="19" max="19" width="21.09765625" bestFit="1" customWidth="1"/>
    <col min="20" max="20" width="21.09765625" customWidth="1"/>
    <col min="21" max="21" width="9.59765625" bestFit="1" customWidth="1"/>
    <col min="22" max="22" width="16.3984375" bestFit="1" customWidth="1"/>
    <col min="23" max="23" width="15.8984375" customWidth="1"/>
    <col min="24" max="24" width="19.09765625" bestFit="1" customWidth="1"/>
    <col min="25" max="25" width="10.69921875" customWidth="1"/>
    <col min="26" max="26" width="11.8984375" bestFit="1" customWidth="1"/>
    <col min="28" max="28" width="11.8984375" bestFit="1" customWidth="1"/>
    <col min="29" max="29" width="11.3984375" bestFit="1" customWidth="1"/>
    <col min="30" max="30" width="13" bestFit="1" customWidth="1"/>
    <col min="32" max="32" width="10" bestFit="1" customWidth="1"/>
    <col min="33" max="33" width="9.296875" customWidth="1"/>
  </cols>
  <sheetData>
    <row r="1" spans="1:35" x14ac:dyDescent="0.25">
      <c r="A1" t="s">
        <v>128</v>
      </c>
      <c r="B1" s="7" t="s">
        <v>72</v>
      </c>
      <c r="C1" t="s">
        <v>0</v>
      </c>
      <c r="D1" s="3" t="s">
        <v>17</v>
      </c>
      <c r="E1" t="s">
        <v>14</v>
      </c>
      <c r="F1" t="s">
        <v>6</v>
      </c>
      <c r="G1" t="s">
        <v>7</v>
      </c>
      <c r="H1" t="s">
        <v>18</v>
      </c>
      <c r="I1" t="s">
        <v>20</v>
      </c>
      <c r="J1" t="s">
        <v>85</v>
      </c>
      <c r="K1" t="s">
        <v>86</v>
      </c>
      <c r="L1" t="s">
        <v>19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27</v>
      </c>
      <c r="S1" t="s">
        <v>26</v>
      </c>
      <c r="T1" t="s">
        <v>97</v>
      </c>
      <c r="U1" t="s">
        <v>28</v>
      </c>
      <c r="V1" t="s">
        <v>84</v>
      </c>
      <c r="W1" t="s">
        <v>81</v>
      </c>
      <c r="X1" t="s">
        <v>82</v>
      </c>
      <c r="Y1" t="s">
        <v>32</v>
      </c>
      <c r="Z1" t="s">
        <v>30</v>
      </c>
      <c r="AA1" t="s">
        <v>29</v>
      </c>
      <c r="AB1" t="s">
        <v>83</v>
      </c>
      <c r="AC1" t="s">
        <v>91</v>
      </c>
      <c r="AD1" t="s">
        <v>31</v>
      </c>
      <c r="AE1" t="s">
        <v>87</v>
      </c>
      <c r="AF1" t="s">
        <v>92</v>
      </c>
      <c r="AG1" t="s">
        <v>130</v>
      </c>
      <c r="AH1" t="s">
        <v>20</v>
      </c>
      <c r="AI1" t="s">
        <v>129</v>
      </c>
    </row>
    <row r="2" spans="1:35" x14ac:dyDescent="0.25">
      <c r="A2">
        <v>7</v>
      </c>
      <c r="B2" t="s">
        <v>76</v>
      </c>
      <c r="C2">
        <v>3392.4969999999998</v>
      </c>
      <c r="D2" s="3">
        <v>1378.759999019542</v>
      </c>
      <c r="E2" s="4">
        <v>26.4</v>
      </c>
      <c r="F2" s="1">
        <f t="shared" ref="F2:F25" si="0">D2/E2</f>
        <v>52.225757538619014</v>
      </c>
      <c r="G2" s="1">
        <v>8.8879999999999999</v>
      </c>
      <c r="H2" s="1">
        <f t="shared" ref="H2:H25" si="1">F2*G2</f>
        <v>464.18253300324579</v>
      </c>
      <c r="I2" s="2">
        <f>C2-D2</f>
        <v>2013.7370009804579</v>
      </c>
      <c r="J2" s="12">
        <f t="shared" ref="J2:J25" si="2">I2/C2</f>
        <v>0.59358549203741606</v>
      </c>
      <c r="K2" s="12"/>
      <c r="L2" s="5">
        <v>3.6</v>
      </c>
      <c r="M2" s="2">
        <f t="shared" ref="M2:M25" si="3">I2/L2</f>
        <v>559.37138916123831</v>
      </c>
      <c r="N2" s="5">
        <v>348</v>
      </c>
      <c r="O2" s="2">
        <f t="shared" ref="O2:O25" si="4">M2*N2*1000/1000000</f>
        <v>194.66124342811094</v>
      </c>
      <c r="P2" s="2">
        <f t="shared" ref="P2:P25" si="5">O2+H2</f>
        <v>658.84377643135667</v>
      </c>
      <c r="Q2" s="2">
        <f>'Calcs by Scenario'!$P$10-P2</f>
        <v>439.63222356864344</v>
      </c>
      <c r="R2" s="2">
        <f t="shared" ref="R2" si="6">25/L2</f>
        <v>6.9444444444444446</v>
      </c>
      <c r="S2" s="2">
        <f>R2*Rough1!$B$25/1000000/1000</f>
        <v>1.7898695625000001</v>
      </c>
      <c r="T2" s="11">
        <f t="shared" ref="T2:T25" si="7">S2/C2*1000</f>
        <v>0.52759650561223792</v>
      </c>
      <c r="U2" s="5">
        <v>115</v>
      </c>
      <c r="V2" s="2">
        <f t="shared" ref="V2:V25" si="8">S2*U2/1000</f>
        <v>0.20583499968750002</v>
      </c>
      <c r="W2" s="11">
        <f>V2/(Q2*Rough1!$B$26)*1000</f>
        <v>4.6819816349372143E-2</v>
      </c>
      <c r="X2" s="8">
        <f>V2/(I2*Rough1!$B$26)*1000</f>
        <v>1.0221543309145242E-2</v>
      </c>
      <c r="Y2" s="4">
        <v>3</v>
      </c>
      <c r="Z2" s="1">
        <f t="shared" ref="Z2:Z25" si="9">Y2*F2</f>
        <v>156.67727261585705</v>
      </c>
      <c r="AA2" s="4">
        <v>0.25</v>
      </c>
      <c r="AB2" s="1">
        <f t="shared" ref="AB2:AB25" si="10">AA2*M2</f>
        <v>139.84284729030958</v>
      </c>
      <c r="AC2" s="1">
        <f t="shared" ref="AC2:AC25" si="11">AB2+Z2</f>
        <v>296.52011990616666</v>
      </c>
      <c r="AD2" s="1">
        <f>'Calcs by Scenario'!$AC$10-AC2</f>
        <v>74.252607366560653</v>
      </c>
      <c r="AE2" s="8">
        <f t="shared" ref="AE2:AE25" si="12">AC2/C2</f>
        <v>8.740468153875057E-2</v>
      </c>
      <c r="AF2" s="18" t="s">
        <v>80</v>
      </c>
      <c r="AG2">
        <v>1936.7492580000001</v>
      </c>
      <c r="AH2">
        <v>2013.7370009804579</v>
      </c>
      <c r="AI2" s="1">
        <f>AG2-AH2*($C$25/C2)</f>
        <v>-76.987742980457824</v>
      </c>
    </row>
    <row r="3" spans="1:35" x14ac:dyDescent="0.25">
      <c r="A3">
        <v>7</v>
      </c>
      <c r="B3" t="s">
        <v>75</v>
      </c>
      <c r="C3">
        <v>3392.4969999999998</v>
      </c>
      <c r="D3" s="3">
        <v>906.37800967647013</v>
      </c>
      <c r="E3" s="4">
        <v>26.4</v>
      </c>
      <c r="F3" s="1">
        <f t="shared" si="0"/>
        <v>34.332500366532962</v>
      </c>
      <c r="G3" s="1">
        <v>8.8879999999999999</v>
      </c>
      <c r="H3" s="1">
        <f t="shared" si="1"/>
        <v>305.14726325774495</v>
      </c>
      <c r="I3" s="2">
        <f t="shared" ref="I3:I25" si="13">C3-D3</f>
        <v>2486.1189903235299</v>
      </c>
      <c r="J3" s="12">
        <f t="shared" si="2"/>
        <v>0.732828648138386</v>
      </c>
      <c r="K3" s="12">
        <f t="shared" ref="K3:K7" si="14">J3-J2</f>
        <v>0.13924315610096993</v>
      </c>
      <c r="L3" s="5">
        <v>3.6</v>
      </c>
      <c r="M3" s="2">
        <f t="shared" si="3"/>
        <v>690.5886084232028</v>
      </c>
      <c r="N3" s="5">
        <v>348</v>
      </c>
      <c r="O3" s="2">
        <f t="shared" si="4"/>
        <v>240.32483573127456</v>
      </c>
      <c r="P3" s="2">
        <f t="shared" si="5"/>
        <v>545.47209898901951</v>
      </c>
      <c r="Q3" s="2">
        <f>'Calcs by Scenario'!$P$10-P3</f>
        <v>553.0039010109806</v>
      </c>
      <c r="R3" s="2">
        <f t="shared" ref="R3" si="15">50/L3</f>
        <v>13.888888888888889</v>
      </c>
      <c r="S3" s="2">
        <f>R3*Rough1!$B$25/1000000/1000</f>
        <v>3.5797391250000001</v>
      </c>
      <c r="T3" s="11">
        <f t="shared" si="7"/>
        <v>1.0551930112244758</v>
      </c>
      <c r="U3" s="5">
        <f t="shared" ref="U3:U25" si="16">U2</f>
        <v>115</v>
      </c>
      <c r="V3" s="2">
        <f t="shared" si="8"/>
        <v>0.41166999937500004</v>
      </c>
      <c r="W3" s="11">
        <f>V3/(Q3*Rough1!$B$26)*1000</f>
        <v>7.4442512724123763E-2</v>
      </c>
      <c r="X3" s="8">
        <f>V3/(I3*Rough1!$B$26)*1000</f>
        <v>1.6558740791462582E-2</v>
      </c>
      <c r="Y3" s="4">
        <v>3</v>
      </c>
      <c r="Z3" s="1">
        <f t="shared" si="9"/>
        <v>102.99750109959888</v>
      </c>
      <c r="AA3" s="4">
        <v>0.25</v>
      </c>
      <c r="AB3" s="1">
        <f t="shared" si="10"/>
        <v>172.6471521058007</v>
      </c>
      <c r="AC3" s="1">
        <f t="shared" si="11"/>
        <v>275.64465320539955</v>
      </c>
      <c r="AD3" s="1">
        <f>'Calcs by Scenario'!$AC$10-AC3</f>
        <v>95.128074067327759</v>
      </c>
      <c r="AE3" s="8">
        <f t="shared" si="12"/>
        <v>8.1251259236308701E-2</v>
      </c>
      <c r="AF3" s="14">
        <f t="shared" ref="AF3:AF25" si="17">AC3/Q3</f>
        <v>0.49844974457047503</v>
      </c>
      <c r="AG3">
        <v>2391.06873</v>
      </c>
      <c r="AH3">
        <v>2486.1189903235299</v>
      </c>
      <c r="AI3" s="1">
        <f t="shared" ref="AI3:AI25" si="18">AG3-AH3*($C$25/C3)</f>
        <v>-95.050260323529983</v>
      </c>
    </row>
    <row r="4" spans="1:35" x14ac:dyDescent="0.25">
      <c r="A4">
        <v>7</v>
      </c>
      <c r="B4" t="s">
        <v>74</v>
      </c>
      <c r="C4">
        <v>3392.4969999999998</v>
      </c>
      <c r="D4" s="3">
        <v>740.08144091597296</v>
      </c>
      <c r="E4" s="4">
        <v>26.4</v>
      </c>
      <c r="F4" s="1">
        <f t="shared" si="0"/>
        <v>28.033387913483825</v>
      </c>
      <c r="G4" s="1">
        <v>8.8879999999999999</v>
      </c>
      <c r="H4" s="1">
        <f t="shared" si="1"/>
        <v>249.16075177504422</v>
      </c>
      <c r="I4" s="2">
        <f t="shared" si="13"/>
        <v>2652.4155590840269</v>
      </c>
      <c r="J4" s="12">
        <f t="shared" si="2"/>
        <v>0.78184757689808626</v>
      </c>
      <c r="K4" s="12">
        <f t="shared" si="14"/>
        <v>4.9018928759700264E-2</v>
      </c>
      <c r="L4" s="5">
        <v>3.6</v>
      </c>
      <c r="M4" s="2">
        <f t="shared" si="3"/>
        <v>736.78209974556296</v>
      </c>
      <c r="N4" s="5">
        <v>348</v>
      </c>
      <c r="O4" s="2">
        <f t="shared" si="4"/>
        <v>256.40017071145587</v>
      </c>
      <c r="P4" s="2">
        <f t="shared" si="5"/>
        <v>505.56092248650009</v>
      </c>
      <c r="Q4" s="2">
        <f>'Calcs by Scenario'!$P$10-P4</f>
        <v>592.91507751350002</v>
      </c>
      <c r="R4" s="2">
        <f t="shared" ref="R4" si="19">75/L4</f>
        <v>20.833333333333332</v>
      </c>
      <c r="S4" s="2">
        <f>R4*Rough1!$B$25/1000000/1000</f>
        <v>5.3696086875000004</v>
      </c>
      <c r="T4" s="11">
        <f t="shared" si="7"/>
        <v>1.5827895168367137</v>
      </c>
      <c r="U4" s="5">
        <f t="shared" si="16"/>
        <v>115</v>
      </c>
      <c r="V4" s="2">
        <f t="shared" si="8"/>
        <v>0.6175049990625</v>
      </c>
      <c r="W4" s="11">
        <f>V4/(Q4*Rough1!$B$26)*1000</f>
        <v>0.10414729233267644</v>
      </c>
      <c r="X4" s="8">
        <f>V4/(I4*Rough1!$B$26)*1000</f>
        <v>2.3280854199020998E-2</v>
      </c>
      <c r="Y4" s="4">
        <v>3</v>
      </c>
      <c r="Z4" s="1">
        <f t="shared" si="9"/>
        <v>84.100163740451478</v>
      </c>
      <c r="AA4" s="4">
        <v>0.25</v>
      </c>
      <c r="AB4" s="1">
        <f t="shared" si="10"/>
        <v>184.19552493639074</v>
      </c>
      <c r="AC4" s="1">
        <f t="shared" si="11"/>
        <v>268.29568867684225</v>
      </c>
      <c r="AD4" s="1">
        <f>'Calcs by Scenario'!$AC$10-AC4</f>
        <v>102.47703859588506</v>
      </c>
      <c r="AE4" s="8">
        <f t="shared" si="12"/>
        <v>7.9085018697685583E-2</v>
      </c>
      <c r="AF4" s="14">
        <f t="shared" si="17"/>
        <v>0.45250272568879552</v>
      </c>
      <c r="AG4">
        <v>2551.0080800000001</v>
      </c>
      <c r="AH4">
        <v>2652.4155590840269</v>
      </c>
      <c r="AI4" s="1">
        <f t="shared" si="18"/>
        <v>-101.40747908402682</v>
      </c>
    </row>
    <row r="5" spans="1:35" x14ac:dyDescent="0.25">
      <c r="A5">
        <v>7</v>
      </c>
      <c r="B5" t="s">
        <v>77</v>
      </c>
      <c r="C5">
        <v>3392.4969999999998</v>
      </c>
      <c r="D5" s="3">
        <v>573.7848721554758</v>
      </c>
      <c r="E5" s="4">
        <v>26.4</v>
      </c>
      <c r="F5" s="1">
        <f t="shared" si="0"/>
        <v>21.734275460434691</v>
      </c>
      <c r="G5" s="1">
        <v>8.8879999999999999</v>
      </c>
      <c r="H5" s="1">
        <f t="shared" si="1"/>
        <v>193.17424029234354</v>
      </c>
      <c r="I5" s="2">
        <f t="shared" si="13"/>
        <v>2818.7121278445238</v>
      </c>
      <c r="J5" s="12">
        <f t="shared" si="2"/>
        <v>0.83086650565778652</v>
      </c>
      <c r="K5" s="12">
        <f t="shared" si="14"/>
        <v>4.9018928759700264E-2</v>
      </c>
      <c r="L5" s="5">
        <v>3.6</v>
      </c>
      <c r="M5" s="2">
        <f t="shared" si="3"/>
        <v>782.97559106792323</v>
      </c>
      <c r="N5" s="5">
        <v>348</v>
      </c>
      <c r="O5" s="2">
        <f t="shared" si="4"/>
        <v>272.4755056916373</v>
      </c>
      <c r="P5" s="2">
        <f t="shared" si="5"/>
        <v>465.64974598398084</v>
      </c>
      <c r="Q5" s="2">
        <f>'Calcs by Scenario'!$P$10-P5</f>
        <v>632.82625401601922</v>
      </c>
      <c r="R5" s="2">
        <f t="shared" ref="R5" si="20">100/L5</f>
        <v>27.777777777777779</v>
      </c>
      <c r="S5" s="2">
        <f>R5*Rough1!$B$25/1000000/1000</f>
        <v>7.1594782500000003</v>
      </c>
      <c r="T5" s="11">
        <f t="shared" si="7"/>
        <v>2.1103860224489517</v>
      </c>
      <c r="U5" s="5">
        <f t="shared" si="16"/>
        <v>115</v>
      </c>
      <c r="V5" s="2">
        <f t="shared" si="8"/>
        <v>0.82333999875000008</v>
      </c>
      <c r="W5" s="11">
        <f>V5/(Q5*Rough1!$B$26)*1000</f>
        <v>0.13010522138184838</v>
      </c>
      <c r="X5" s="8">
        <f>V5/(I5*Rough1!$B$26)*1000</f>
        <v>2.9209793742917985E-2</v>
      </c>
      <c r="Y5" s="4">
        <v>3</v>
      </c>
      <c r="Z5" s="1">
        <f t="shared" si="9"/>
        <v>65.202826381304078</v>
      </c>
      <c r="AA5" s="4">
        <v>0.25</v>
      </c>
      <c r="AB5" s="1">
        <f t="shared" si="10"/>
        <v>195.74389776698081</v>
      </c>
      <c r="AC5" s="1">
        <f t="shared" si="11"/>
        <v>260.94672414828489</v>
      </c>
      <c r="AD5" s="1">
        <f>'Calcs by Scenario'!$AC$10-AC5</f>
        <v>109.82600312444242</v>
      </c>
      <c r="AE5" s="8">
        <f t="shared" si="12"/>
        <v>7.6918778159062451E-2</v>
      </c>
      <c r="AF5" s="14">
        <f t="shared" si="17"/>
        <v>0.41235129309549684</v>
      </c>
      <c r="AG5">
        <v>2710.9474310000001</v>
      </c>
      <c r="AH5">
        <v>2818.7121278445238</v>
      </c>
      <c r="AI5" s="1">
        <f t="shared" si="18"/>
        <v>-107.76469684452377</v>
      </c>
    </row>
    <row r="6" spans="1:35" x14ac:dyDescent="0.25">
      <c r="A6">
        <v>7</v>
      </c>
      <c r="B6" t="s">
        <v>78</v>
      </c>
      <c r="C6">
        <v>3392.4969999999998</v>
      </c>
      <c r="D6" s="3">
        <v>510.74716309351601</v>
      </c>
      <c r="E6" s="4">
        <v>26.4</v>
      </c>
      <c r="F6" s="1">
        <f t="shared" si="0"/>
        <v>19.346483450511972</v>
      </c>
      <c r="G6" s="1">
        <v>8.8879999999999999</v>
      </c>
      <c r="H6" s="1">
        <f t="shared" si="1"/>
        <v>171.9515449081504</v>
      </c>
      <c r="I6" s="2">
        <f t="shared" si="13"/>
        <v>2881.7498369064838</v>
      </c>
      <c r="J6" s="12">
        <f t="shared" si="2"/>
        <v>0.84944801333840059</v>
      </c>
      <c r="K6" s="12">
        <f t="shared" si="14"/>
        <v>1.8581507680614062E-2</v>
      </c>
      <c r="L6" s="5">
        <v>3.6</v>
      </c>
      <c r="M6" s="2">
        <f t="shared" si="3"/>
        <v>800.48606580735657</v>
      </c>
      <c r="N6" s="5">
        <v>348</v>
      </c>
      <c r="O6" s="2">
        <f t="shared" si="4"/>
        <v>278.5691509009601</v>
      </c>
      <c r="P6" s="2">
        <f t="shared" si="5"/>
        <v>450.52069580911052</v>
      </c>
      <c r="Q6" s="2">
        <f>'Calcs by Scenario'!$P$10-P6</f>
        <v>647.95530419088959</v>
      </c>
      <c r="R6" s="2">
        <f t="shared" ref="R6" si="21">125/L6</f>
        <v>34.722222222222221</v>
      </c>
      <c r="S6" s="2">
        <f>R6*Rough1!$B$25/1000000/1000</f>
        <v>8.949347812500001</v>
      </c>
      <c r="T6" s="11">
        <f t="shared" si="7"/>
        <v>2.6379825280611895</v>
      </c>
      <c r="U6" s="5">
        <f t="shared" si="16"/>
        <v>115</v>
      </c>
      <c r="V6" s="2">
        <f t="shared" si="8"/>
        <v>1.0291749984375</v>
      </c>
      <c r="W6" s="11">
        <f>V6/(Q6*Rough1!$B$26)*1000</f>
        <v>0.15883425782317573</v>
      </c>
      <c r="X6" s="8">
        <f>V6/(I6*Rough1!$B$26)*1000</f>
        <v>3.571354408550273E-2</v>
      </c>
      <c r="Y6" s="4">
        <v>3</v>
      </c>
      <c r="Z6" s="1">
        <f t="shared" si="9"/>
        <v>58.039450351535919</v>
      </c>
      <c r="AA6" s="4">
        <v>0.25</v>
      </c>
      <c r="AB6" s="1">
        <f t="shared" si="10"/>
        <v>200.12151645183914</v>
      </c>
      <c r="AC6" s="1">
        <f t="shared" si="11"/>
        <v>258.16096680337506</v>
      </c>
      <c r="AD6" s="1">
        <f>'Calcs by Scenario'!$AC$10-AC6</f>
        <v>112.61176046935225</v>
      </c>
      <c r="AE6" s="8">
        <f t="shared" si="12"/>
        <v>7.6097625673176739E-2</v>
      </c>
      <c r="AF6" s="14">
        <f t="shared" si="17"/>
        <v>0.39842403501232865</v>
      </c>
      <c r="AG6">
        <v>2771.575362</v>
      </c>
      <c r="AH6">
        <v>2881.7498369064838</v>
      </c>
      <c r="AI6" s="1">
        <f t="shared" si="18"/>
        <v>-110.17447490648374</v>
      </c>
    </row>
    <row r="7" spans="1:35" x14ac:dyDescent="0.25">
      <c r="A7">
        <v>7</v>
      </c>
      <c r="B7" t="s">
        <v>79</v>
      </c>
      <c r="C7">
        <v>3392.4969999999998</v>
      </c>
      <c r="D7" s="3">
        <v>447.70945403155611</v>
      </c>
      <c r="E7" s="4">
        <v>26.4</v>
      </c>
      <c r="F7" s="1">
        <f t="shared" si="0"/>
        <v>16.958691440589249</v>
      </c>
      <c r="G7" s="1">
        <v>8.8879999999999999</v>
      </c>
      <c r="H7" s="1">
        <f t="shared" si="1"/>
        <v>150.72884952395725</v>
      </c>
      <c r="I7" s="2">
        <f t="shared" si="13"/>
        <v>2944.7875459684437</v>
      </c>
      <c r="J7" s="12">
        <f t="shared" si="2"/>
        <v>0.86802952101901454</v>
      </c>
      <c r="K7" s="12">
        <f t="shared" si="14"/>
        <v>1.8581507680613951E-2</v>
      </c>
      <c r="L7" s="5">
        <v>3.6</v>
      </c>
      <c r="M7" s="2">
        <f t="shared" si="3"/>
        <v>817.9965405467899</v>
      </c>
      <c r="N7" s="5">
        <v>348</v>
      </c>
      <c r="O7" s="2">
        <f t="shared" si="4"/>
        <v>284.6627961102829</v>
      </c>
      <c r="P7" s="2">
        <f t="shared" si="5"/>
        <v>435.39164563424015</v>
      </c>
      <c r="Q7" s="2">
        <f>'Calcs by Scenario'!$P$10-P7</f>
        <v>663.08435436575996</v>
      </c>
      <c r="R7" s="2">
        <f t="shared" ref="R7" si="22">150/L7</f>
        <v>41.666666666666664</v>
      </c>
      <c r="S7" s="2">
        <f>R7*Rough1!$B$25/1000000/1000</f>
        <v>10.739217375000001</v>
      </c>
      <c r="T7" s="11">
        <f t="shared" si="7"/>
        <v>3.1655790336734273</v>
      </c>
      <c r="U7" s="5">
        <f t="shared" si="16"/>
        <v>115</v>
      </c>
      <c r="V7" s="2">
        <f t="shared" si="8"/>
        <v>1.235009998125</v>
      </c>
      <c r="W7" s="11">
        <f>V7/(Q7*Rough1!$B$26)*1000</f>
        <v>0.18625232068795936</v>
      </c>
      <c r="X7" s="8">
        <f>V7/(I7*Rough1!$B$26)*1000</f>
        <v>4.1938848859089627E-2</v>
      </c>
      <c r="Y7" s="4">
        <v>3</v>
      </c>
      <c r="Z7" s="1">
        <f t="shared" si="9"/>
        <v>50.876074321767746</v>
      </c>
      <c r="AA7" s="4">
        <v>0.25</v>
      </c>
      <c r="AB7" s="1">
        <f t="shared" si="10"/>
        <v>204.49913513669748</v>
      </c>
      <c r="AC7" s="1">
        <f t="shared" si="11"/>
        <v>255.37520945846524</v>
      </c>
      <c r="AD7" s="1">
        <f>'Calcs by Scenario'!$AC$10-AC7</f>
        <v>115.39751781426207</v>
      </c>
      <c r="AE7" s="8">
        <f t="shared" si="12"/>
        <v>7.5276473187291026E-2</v>
      </c>
      <c r="AF7" s="14">
        <f t="shared" si="17"/>
        <v>0.38513231050781099</v>
      </c>
      <c r="AG7">
        <v>2832.2032940000004</v>
      </c>
      <c r="AH7">
        <v>2944.7875459684437</v>
      </c>
      <c r="AI7" s="1">
        <f t="shared" si="18"/>
        <v>-112.58425196844337</v>
      </c>
    </row>
    <row r="8" spans="1:35" x14ac:dyDescent="0.25">
      <c r="A8">
        <v>5</v>
      </c>
      <c r="B8" t="s">
        <v>76</v>
      </c>
      <c r="C8">
        <v>3392.4969999999998</v>
      </c>
      <c r="D8" s="3">
        <v>1671.3648928073169</v>
      </c>
      <c r="E8" s="4">
        <v>26.4</v>
      </c>
      <c r="F8" s="1">
        <f t="shared" si="0"/>
        <v>63.309276242701401</v>
      </c>
      <c r="G8" s="1">
        <v>8.8879999999999999</v>
      </c>
      <c r="H8" s="1">
        <f t="shared" si="1"/>
        <v>562.69284724513</v>
      </c>
      <c r="I8" s="2">
        <f t="shared" si="13"/>
        <v>1721.132107192683</v>
      </c>
      <c r="J8" s="12">
        <f t="shared" si="2"/>
        <v>0.50733489438389567</v>
      </c>
      <c r="K8" s="12"/>
      <c r="L8" s="5">
        <v>3.6</v>
      </c>
      <c r="M8" s="2">
        <f t="shared" si="3"/>
        <v>478.09225199796748</v>
      </c>
      <c r="N8" s="5">
        <v>348</v>
      </c>
      <c r="O8" s="2">
        <f t="shared" si="4"/>
        <v>166.37610369529267</v>
      </c>
      <c r="P8" s="2">
        <f t="shared" si="5"/>
        <v>729.06895094042261</v>
      </c>
      <c r="Q8" s="2">
        <f>'Calcs by Scenario'!$P$10-P8</f>
        <v>369.4070490595775</v>
      </c>
      <c r="R8" s="2">
        <f t="shared" ref="R8" si="23">25/L8</f>
        <v>6.9444444444444446</v>
      </c>
      <c r="S8" s="2">
        <f>R8*Rough1!$B$25/1000000/1000</f>
        <v>1.7898695625000001</v>
      </c>
      <c r="T8" s="11">
        <f t="shared" si="7"/>
        <v>0.52759650561223792</v>
      </c>
      <c r="U8" s="5">
        <f t="shared" si="16"/>
        <v>115</v>
      </c>
      <c r="V8" s="2">
        <f t="shared" si="8"/>
        <v>0.20583499968750002</v>
      </c>
      <c r="W8" s="11">
        <f>V8/(Q8*Rough1!$B$26)*1000</f>
        <v>5.5720376806968626E-2</v>
      </c>
      <c r="X8" s="8">
        <f>V8/(I8*Rough1!$B$26)*1000</f>
        <v>1.1959279524640031E-2</v>
      </c>
      <c r="Y8" s="4">
        <v>3</v>
      </c>
      <c r="Z8" s="1">
        <f t="shared" si="9"/>
        <v>189.9278287281042</v>
      </c>
      <c r="AA8" s="4">
        <v>0.25</v>
      </c>
      <c r="AB8" s="1">
        <f t="shared" si="10"/>
        <v>119.52306299949187</v>
      </c>
      <c r="AC8" s="1">
        <f t="shared" si="11"/>
        <v>309.45089172759606</v>
      </c>
      <c r="AD8" s="1">
        <f>'Calcs by Scenario'!$AC$10-AC8</f>
        <v>61.32183554513125</v>
      </c>
      <c r="AE8" s="8">
        <f t="shared" si="12"/>
        <v>9.1216260980509653E-2</v>
      </c>
      <c r="AF8" s="14">
        <f t="shared" si="17"/>
        <v>0.83769622836213986</v>
      </c>
      <c r="AG8">
        <v>1936.7492580000003</v>
      </c>
      <c r="AH8">
        <v>1721.132107192683</v>
      </c>
      <c r="AI8" s="1">
        <f t="shared" si="18"/>
        <v>215.61715080731733</v>
      </c>
    </row>
    <row r="9" spans="1:35" x14ac:dyDescent="0.25">
      <c r="A9">
        <v>5</v>
      </c>
      <c r="B9" t="s">
        <v>75</v>
      </c>
      <c r="C9">
        <v>3392.4969999999998</v>
      </c>
      <c r="D9" s="3">
        <v>1260.384545506412</v>
      </c>
      <c r="E9" s="4">
        <v>26.4</v>
      </c>
      <c r="F9" s="1">
        <f t="shared" si="0"/>
        <v>47.741838844939849</v>
      </c>
      <c r="G9" s="1">
        <v>8.8879999999999999</v>
      </c>
      <c r="H9" s="1">
        <f t="shared" si="1"/>
        <v>424.32946365382537</v>
      </c>
      <c r="I9" s="2">
        <f t="shared" si="13"/>
        <v>2132.1124544935878</v>
      </c>
      <c r="J9" s="12">
        <f t="shared" si="2"/>
        <v>0.62847880322181215</v>
      </c>
      <c r="K9" s="12">
        <f t="shared" ref="K9:K13" si="24">J9-J8</f>
        <v>0.12114390883791648</v>
      </c>
      <c r="L9" s="5">
        <v>3.6</v>
      </c>
      <c r="M9" s="2">
        <f t="shared" si="3"/>
        <v>592.25345958155219</v>
      </c>
      <c r="N9" s="5">
        <v>348</v>
      </c>
      <c r="O9" s="2">
        <f t="shared" si="4"/>
        <v>206.10420393438017</v>
      </c>
      <c r="P9" s="2">
        <f t="shared" si="5"/>
        <v>630.43366758820548</v>
      </c>
      <c r="Q9" s="2">
        <f>'Calcs by Scenario'!$P$10-P9</f>
        <v>468.04233241179463</v>
      </c>
      <c r="R9" s="2">
        <f t="shared" ref="R9" si="25">50/L9</f>
        <v>13.888888888888889</v>
      </c>
      <c r="S9" s="2">
        <f>R9*Rough1!$B$25/1000000/1000</f>
        <v>3.5797391250000001</v>
      </c>
      <c r="T9" s="11">
        <f t="shared" si="7"/>
        <v>1.0551930112244758</v>
      </c>
      <c r="U9" s="5">
        <f t="shared" si="16"/>
        <v>115</v>
      </c>
      <c r="V9" s="2">
        <f t="shared" si="8"/>
        <v>0.41166999937500004</v>
      </c>
      <c r="W9" s="11">
        <f>V9/(Q9*Rough1!$B$26)*1000</f>
        <v>8.7955719144823655E-2</v>
      </c>
      <c r="X9" s="8">
        <f>V9/(I9*Rough1!$B$26)*1000</f>
        <v>1.9308080983597951E-2</v>
      </c>
      <c r="Y9" s="4">
        <v>3</v>
      </c>
      <c r="Z9" s="1">
        <f t="shared" si="9"/>
        <v>143.22551653481955</v>
      </c>
      <c r="AA9" s="4">
        <v>0.25</v>
      </c>
      <c r="AB9" s="1">
        <f t="shared" si="10"/>
        <v>148.06336489538805</v>
      </c>
      <c r="AC9" s="1">
        <f t="shared" si="11"/>
        <v>291.2888814302076</v>
      </c>
      <c r="AD9" s="1">
        <f>'Calcs by Scenario'!$AC$10-AC9</f>
        <v>79.483845842519713</v>
      </c>
      <c r="AE9" s="8">
        <f t="shared" si="12"/>
        <v>8.5862679150551235E-2</v>
      </c>
      <c r="AF9" s="14">
        <f t="shared" si="17"/>
        <v>0.62235584531256627</v>
      </c>
      <c r="AG9">
        <v>2391.06873</v>
      </c>
      <c r="AH9">
        <v>2132.1124544935878</v>
      </c>
      <c r="AI9" s="1">
        <f t="shared" si="18"/>
        <v>258.95627550641211</v>
      </c>
    </row>
    <row r="10" spans="1:35" x14ac:dyDescent="0.25">
      <c r="A10">
        <v>5</v>
      </c>
      <c r="B10" t="s">
        <v>74</v>
      </c>
      <c r="C10">
        <v>3392.4969999999998</v>
      </c>
      <c r="D10" s="3">
        <v>1109.5768057006951</v>
      </c>
      <c r="E10" s="4">
        <v>26.4</v>
      </c>
      <c r="F10" s="1">
        <f t="shared" si="0"/>
        <v>42.029424458359664</v>
      </c>
      <c r="G10" s="1">
        <v>8.8879999999999999</v>
      </c>
      <c r="H10" s="1">
        <f t="shared" si="1"/>
        <v>373.55752458590069</v>
      </c>
      <c r="I10" s="2">
        <f t="shared" si="13"/>
        <v>2282.920194299305</v>
      </c>
      <c r="J10" s="12">
        <f t="shared" si="2"/>
        <v>0.67293211881964965</v>
      </c>
      <c r="K10" s="12">
        <f t="shared" si="24"/>
        <v>4.4453315597837495E-2</v>
      </c>
      <c r="L10" s="5">
        <v>3.6</v>
      </c>
      <c r="M10" s="2">
        <f t="shared" si="3"/>
        <v>634.14449841647354</v>
      </c>
      <c r="N10" s="5">
        <v>348</v>
      </c>
      <c r="O10" s="2">
        <f t="shared" si="4"/>
        <v>220.68228544893279</v>
      </c>
      <c r="P10" s="2">
        <f t="shared" si="5"/>
        <v>594.23981003483345</v>
      </c>
      <c r="Q10" s="2">
        <f>'Calcs by Scenario'!$P$10-P10</f>
        <v>504.23618996516666</v>
      </c>
      <c r="R10" s="2">
        <f t="shared" ref="R10" si="26">75/L10</f>
        <v>20.833333333333332</v>
      </c>
      <c r="S10" s="2">
        <f>R10*Rough1!$B$25/1000000/1000</f>
        <v>5.3696086875000004</v>
      </c>
      <c r="T10" s="11">
        <f t="shared" si="7"/>
        <v>1.5827895168367137</v>
      </c>
      <c r="U10" s="5">
        <f t="shared" si="16"/>
        <v>115</v>
      </c>
      <c r="V10" s="2">
        <f t="shared" si="8"/>
        <v>0.6175049990625</v>
      </c>
      <c r="W10" s="11">
        <f>V10/(Q10*Rough1!$B$26)*1000</f>
        <v>0.12246344299586233</v>
      </c>
      <c r="X10" s="8">
        <f>V10/(I10*Rough1!$B$26)*1000</f>
        <v>2.7048908700552727E-2</v>
      </c>
      <c r="Y10" s="4">
        <v>3</v>
      </c>
      <c r="Z10" s="1">
        <f t="shared" si="9"/>
        <v>126.08827337507898</v>
      </c>
      <c r="AA10" s="4">
        <v>0.25</v>
      </c>
      <c r="AB10" s="1">
        <f t="shared" si="10"/>
        <v>158.53612460411838</v>
      </c>
      <c r="AC10" s="1">
        <f t="shared" si="11"/>
        <v>284.6243979791974</v>
      </c>
      <c r="AD10" s="1">
        <f>'Calcs by Scenario'!$AC$10-AC10</f>
        <v>86.148329293529912</v>
      </c>
      <c r="AE10" s="8">
        <f t="shared" si="12"/>
        <v>8.389820181983873E-2</v>
      </c>
      <c r="AF10" s="14">
        <f t="shared" si="17"/>
        <v>0.56446642197351926</v>
      </c>
      <c r="AG10">
        <v>2551.0080800000001</v>
      </c>
      <c r="AH10">
        <v>2282.920194299305</v>
      </c>
      <c r="AI10" s="1">
        <f t="shared" si="18"/>
        <v>268.0878857006951</v>
      </c>
    </row>
    <row r="11" spans="1:35" x14ac:dyDescent="0.25">
      <c r="A11">
        <v>5</v>
      </c>
      <c r="B11" t="s">
        <v>77</v>
      </c>
      <c r="C11">
        <v>3392.4969999999998</v>
      </c>
      <c r="D11" s="3">
        <v>958.76906589497844</v>
      </c>
      <c r="E11" s="4">
        <v>26.4</v>
      </c>
      <c r="F11" s="1">
        <f t="shared" si="0"/>
        <v>36.317010071779485</v>
      </c>
      <c r="G11" s="1">
        <v>8.8879999999999999</v>
      </c>
      <c r="H11" s="1">
        <f t="shared" si="1"/>
        <v>322.78558551797607</v>
      </c>
      <c r="I11" s="2">
        <f t="shared" si="13"/>
        <v>2433.7279341050216</v>
      </c>
      <c r="J11" s="12">
        <f t="shared" si="2"/>
        <v>0.71738543441748714</v>
      </c>
      <c r="K11" s="12">
        <f t="shared" si="24"/>
        <v>4.4453315597837495E-2</v>
      </c>
      <c r="L11" s="5">
        <v>3.6</v>
      </c>
      <c r="M11" s="2">
        <f t="shared" si="3"/>
        <v>676.03553725139489</v>
      </c>
      <c r="N11" s="5">
        <v>348</v>
      </c>
      <c r="O11" s="2">
        <f t="shared" si="4"/>
        <v>235.26036696348541</v>
      </c>
      <c r="P11" s="2">
        <f t="shared" si="5"/>
        <v>558.04595248146143</v>
      </c>
      <c r="Q11" s="2">
        <f>'Calcs by Scenario'!$P$10-P11</f>
        <v>540.43004751853869</v>
      </c>
      <c r="R11" s="2">
        <f t="shared" ref="R11" si="27">100/L11</f>
        <v>27.777777777777779</v>
      </c>
      <c r="S11" s="2">
        <f>R11*Rough1!$B$25/1000000/1000</f>
        <v>7.1594782500000003</v>
      </c>
      <c r="T11" s="11">
        <f t="shared" si="7"/>
        <v>2.1103860224489517</v>
      </c>
      <c r="U11" s="5">
        <f t="shared" si="16"/>
        <v>115</v>
      </c>
      <c r="V11" s="2">
        <f t="shared" si="8"/>
        <v>0.82333999875000008</v>
      </c>
      <c r="W11" s="11">
        <f>V11/(Q11*Rough1!$B$26)*1000</f>
        <v>0.15234904175489181</v>
      </c>
      <c r="X11" s="8">
        <f>V11/(I11*Rough1!$B$26)*1000</f>
        <v>3.3830404262207507E-2</v>
      </c>
      <c r="Y11" s="4">
        <v>3</v>
      </c>
      <c r="Z11" s="1">
        <f t="shared" si="9"/>
        <v>108.95103021533845</v>
      </c>
      <c r="AA11" s="4">
        <v>0.25</v>
      </c>
      <c r="AB11" s="1">
        <f t="shared" si="10"/>
        <v>169.00888431284872</v>
      </c>
      <c r="AC11" s="1">
        <f t="shared" si="11"/>
        <v>277.95991452818714</v>
      </c>
      <c r="AD11" s="1">
        <f>'Calcs by Scenario'!$AC$10-AC11</f>
        <v>92.812812744540167</v>
      </c>
      <c r="AE11" s="8">
        <f t="shared" si="12"/>
        <v>8.1933724489126197E-2</v>
      </c>
      <c r="AF11" s="14">
        <f t="shared" si="17"/>
        <v>0.51433097734753941</v>
      </c>
      <c r="AG11">
        <v>2710.9474310000001</v>
      </c>
      <c r="AH11">
        <v>2433.7279341050216</v>
      </c>
      <c r="AI11" s="1">
        <f t="shared" si="18"/>
        <v>277.21949689497842</v>
      </c>
    </row>
    <row r="12" spans="1:35" x14ac:dyDescent="0.25">
      <c r="A12">
        <v>5</v>
      </c>
      <c r="B12" t="s">
        <v>78</v>
      </c>
      <c r="C12">
        <v>3392.4969999999998</v>
      </c>
      <c r="D12" s="3">
        <v>895.73135683301871</v>
      </c>
      <c r="E12" s="4">
        <v>26.4</v>
      </c>
      <c r="F12" s="1">
        <f t="shared" si="0"/>
        <v>33.929218061856773</v>
      </c>
      <c r="G12" s="1">
        <v>8.8879999999999999</v>
      </c>
      <c r="H12" s="1">
        <f t="shared" si="1"/>
        <v>301.56289013378301</v>
      </c>
      <c r="I12" s="2">
        <f t="shared" si="13"/>
        <v>2496.7656431669811</v>
      </c>
      <c r="J12" s="12">
        <f t="shared" si="2"/>
        <v>0.73596694209810098</v>
      </c>
      <c r="K12" s="12">
        <f t="shared" si="24"/>
        <v>1.858150768061384E-2</v>
      </c>
      <c r="L12" s="5">
        <v>3.6</v>
      </c>
      <c r="M12" s="2">
        <f t="shared" si="3"/>
        <v>693.54601199082811</v>
      </c>
      <c r="N12" s="5">
        <v>348</v>
      </c>
      <c r="O12" s="2">
        <f t="shared" si="4"/>
        <v>241.35401217280818</v>
      </c>
      <c r="P12" s="2">
        <f t="shared" si="5"/>
        <v>542.91690230659117</v>
      </c>
      <c r="Q12" s="2">
        <f>'Calcs by Scenario'!$P$10-P12</f>
        <v>555.55909769340894</v>
      </c>
      <c r="R12" s="2">
        <f t="shared" ref="R12" si="28">125/L12</f>
        <v>34.722222222222221</v>
      </c>
      <c r="S12" s="2">
        <f>R12*Rough1!$B$25/1000000/1000</f>
        <v>8.949347812500001</v>
      </c>
      <c r="T12" s="11">
        <f t="shared" si="7"/>
        <v>2.6379825280611895</v>
      </c>
      <c r="U12" s="5">
        <f t="shared" si="16"/>
        <v>115</v>
      </c>
      <c r="V12" s="2">
        <f t="shared" si="8"/>
        <v>1.0291749984375</v>
      </c>
      <c r="W12" s="11">
        <f>V12/(Q12*Rough1!$B$26)*1000</f>
        <v>0.1852503185908515</v>
      </c>
      <c r="X12" s="8">
        <f>V12/(I12*Rough1!$B$26)*1000</f>
        <v>4.1220328437876937E-2</v>
      </c>
      <c r="Y12" s="4">
        <v>3</v>
      </c>
      <c r="Z12" s="1">
        <f t="shared" si="9"/>
        <v>101.78765418557032</v>
      </c>
      <c r="AA12" s="4">
        <v>0.25</v>
      </c>
      <c r="AB12" s="1">
        <f t="shared" si="10"/>
        <v>173.38650299770703</v>
      </c>
      <c r="AC12" s="1">
        <f t="shared" si="11"/>
        <v>275.17415718327732</v>
      </c>
      <c r="AD12" s="1">
        <f>'Calcs by Scenario'!$AC$10-AC12</f>
        <v>95.598570089449993</v>
      </c>
      <c r="AE12" s="8">
        <f t="shared" si="12"/>
        <v>8.1112572003240485E-2</v>
      </c>
      <c r="AF12" s="14">
        <f t="shared" si="17"/>
        <v>0.4953103249064873</v>
      </c>
      <c r="AG12">
        <v>2771.575362</v>
      </c>
      <c r="AH12">
        <v>2496.7656431669811</v>
      </c>
      <c r="AI12" s="1">
        <f t="shared" si="18"/>
        <v>274.80971883301891</v>
      </c>
    </row>
    <row r="13" spans="1:35" x14ac:dyDescent="0.25">
      <c r="A13">
        <v>5</v>
      </c>
      <c r="B13" t="s">
        <v>79</v>
      </c>
      <c r="C13">
        <v>3392.4969999999998</v>
      </c>
      <c r="D13" s="3">
        <v>832.69364777105875</v>
      </c>
      <c r="E13" s="4">
        <v>26.4</v>
      </c>
      <c r="F13" s="1">
        <f t="shared" si="0"/>
        <v>31.541426051934046</v>
      </c>
      <c r="G13" s="1">
        <v>8.8879999999999999</v>
      </c>
      <c r="H13" s="1">
        <f t="shared" si="1"/>
        <v>280.34019474958978</v>
      </c>
      <c r="I13" s="2">
        <f t="shared" si="13"/>
        <v>2559.8033522289411</v>
      </c>
      <c r="J13" s="12">
        <f t="shared" si="2"/>
        <v>0.75454844977871494</v>
      </c>
      <c r="K13" s="12">
        <f t="shared" si="24"/>
        <v>1.8581507680613951E-2</v>
      </c>
      <c r="L13" s="5">
        <v>3.6</v>
      </c>
      <c r="M13" s="2">
        <f t="shared" si="3"/>
        <v>711.05648673026144</v>
      </c>
      <c r="N13" s="5">
        <v>348</v>
      </c>
      <c r="O13" s="2">
        <f t="shared" si="4"/>
        <v>247.44765738213098</v>
      </c>
      <c r="P13" s="2">
        <f t="shared" si="5"/>
        <v>527.7878521317208</v>
      </c>
      <c r="Q13" s="2">
        <f>'Calcs by Scenario'!$P$10-P13</f>
        <v>570.68814786827932</v>
      </c>
      <c r="R13" s="2">
        <f t="shared" ref="R13" si="29">150/L13</f>
        <v>41.666666666666664</v>
      </c>
      <c r="S13" s="2">
        <f>R13*Rough1!$B$25/1000000/1000</f>
        <v>10.739217375000001</v>
      </c>
      <c r="T13" s="11">
        <f t="shared" si="7"/>
        <v>3.1655790336734273</v>
      </c>
      <c r="U13" s="5">
        <f t="shared" si="16"/>
        <v>115</v>
      </c>
      <c r="V13" s="2">
        <f t="shared" si="8"/>
        <v>1.235009998125</v>
      </c>
      <c r="W13" s="11">
        <f>V13/(Q13*Rough1!$B$26)*1000</f>
        <v>0.21640715734822882</v>
      </c>
      <c r="X13" s="8">
        <f>V13/(I13*Rough1!$B$26)*1000</f>
        <v>4.8246284115911434E-2</v>
      </c>
      <c r="Y13" s="4">
        <v>3</v>
      </c>
      <c r="Z13" s="1">
        <f t="shared" si="9"/>
        <v>94.624278155802131</v>
      </c>
      <c r="AA13" s="4">
        <v>0.25</v>
      </c>
      <c r="AB13" s="1">
        <f t="shared" si="10"/>
        <v>177.76412168256536</v>
      </c>
      <c r="AC13" s="1">
        <f t="shared" si="11"/>
        <v>272.38839983836749</v>
      </c>
      <c r="AD13" s="1">
        <f>'Calcs by Scenario'!$AC$10-AC13</f>
        <v>98.384327434359818</v>
      </c>
      <c r="AE13" s="8">
        <f t="shared" si="12"/>
        <v>8.0291419517354773E-2</v>
      </c>
      <c r="AF13" s="14">
        <f t="shared" si="17"/>
        <v>0.4772981546153251</v>
      </c>
      <c r="AG13">
        <v>2832.2032940000004</v>
      </c>
      <c r="AH13">
        <v>2559.8033522289411</v>
      </c>
      <c r="AI13" s="1">
        <f t="shared" si="18"/>
        <v>272.39994177105928</v>
      </c>
    </row>
    <row r="14" spans="1:35" x14ac:dyDescent="0.25">
      <c r="A14">
        <v>3</v>
      </c>
      <c r="B14" t="s">
        <v>76</v>
      </c>
      <c r="C14">
        <v>3392.4969999999998</v>
      </c>
      <c r="D14" s="3">
        <v>1963.969786595092</v>
      </c>
      <c r="E14" s="4">
        <v>26.4</v>
      </c>
      <c r="F14" s="1">
        <f t="shared" si="0"/>
        <v>74.392794946783795</v>
      </c>
      <c r="G14" s="1">
        <v>8.8879999999999999</v>
      </c>
      <c r="H14" s="1">
        <f t="shared" si="1"/>
        <v>661.20316148701431</v>
      </c>
      <c r="I14" s="2">
        <f t="shared" si="13"/>
        <v>1428.5272134049078</v>
      </c>
      <c r="J14" s="12">
        <f t="shared" si="2"/>
        <v>0.42108429673037523</v>
      </c>
      <c r="K14" s="12"/>
      <c r="L14" s="5">
        <v>3.6</v>
      </c>
      <c r="M14" s="2">
        <f t="shared" si="3"/>
        <v>396.81311483469659</v>
      </c>
      <c r="N14" s="5">
        <v>348</v>
      </c>
      <c r="O14" s="2">
        <f t="shared" si="4"/>
        <v>138.0909639624744</v>
      </c>
      <c r="P14" s="2">
        <f t="shared" si="5"/>
        <v>799.29412544948877</v>
      </c>
      <c r="Q14" s="2">
        <f>'Calcs by Scenario'!$P$10-P14</f>
        <v>299.18187455051134</v>
      </c>
      <c r="R14" s="2">
        <f t="shared" ref="R14" si="30">25/L14</f>
        <v>6.9444444444444446</v>
      </c>
      <c r="S14" s="2">
        <f>R14*Rough1!$B$25/1000000/1000</f>
        <v>1.7898695625000001</v>
      </c>
      <c r="T14" s="11">
        <f t="shared" si="7"/>
        <v>0.52759650561223792</v>
      </c>
      <c r="U14" s="5">
        <f t="shared" si="16"/>
        <v>115</v>
      </c>
      <c r="V14" s="2">
        <f t="shared" si="8"/>
        <v>0.20583499968750002</v>
      </c>
      <c r="W14" s="11">
        <f>V14/(Q14*Rough1!$B$26)*1000</f>
        <v>6.8799288057388178E-2</v>
      </c>
      <c r="X14" s="8">
        <f>V14/(I14*Rough1!$B$26)*1000</f>
        <v>1.4408895942338429E-2</v>
      </c>
      <c r="Y14" s="4">
        <v>3</v>
      </c>
      <c r="Z14" s="1">
        <f t="shared" si="9"/>
        <v>223.17838484035138</v>
      </c>
      <c r="AA14" s="4">
        <v>0.25</v>
      </c>
      <c r="AB14" s="1">
        <f t="shared" si="10"/>
        <v>99.203278708674148</v>
      </c>
      <c r="AC14" s="1">
        <f t="shared" si="11"/>
        <v>322.38166354902552</v>
      </c>
      <c r="AD14" s="1">
        <f>'Calcs by Scenario'!$AC$10-AC14</f>
        <v>48.391063723701791</v>
      </c>
      <c r="AE14" s="8">
        <f t="shared" si="12"/>
        <v>9.5027840422268764E-2</v>
      </c>
      <c r="AF14" s="14">
        <f t="shared" si="17"/>
        <v>1.0775440993321181</v>
      </c>
      <c r="AG14">
        <v>1936.7492580000003</v>
      </c>
      <c r="AH14">
        <v>1428.5272134049078</v>
      </c>
      <c r="AI14" s="1">
        <f t="shared" si="18"/>
        <v>508.22204459509248</v>
      </c>
    </row>
    <row r="15" spans="1:35" x14ac:dyDescent="0.25">
      <c r="A15">
        <v>3</v>
      </c>
      <c r="B15" t="s">
        <v>75</v>
      </c>
      <c r="C15">
        <v>3392.4969999999998</v>
      </c>
      <c r="D15" s="3">
        <v>1614.391081336353</v>
      </c>
      <c r="E15" s="4">
        <v>26.4</v>
      </c>
      <c r="F15" s="1">
        <f t="shared" si="0"/>
        <v>61.151177323346708</v>
      </c>
      <c r="G15" s="1">
        <v>8.8879999999999999</v>
      </c>
      <c r="H15" s="1">
        <f t="shared" si="1"/>
        <v>543.51166404990556</v>
      </c>
      <c r="I15" s="2">
        <f t="shared" si="13"/>
        <v>1778.1059186636469</v>
      </c>
      <c r="J15" s="12">
        <f t="shared" si="2"/>
        <v>0.52412895830523853</v>
      </c>
      <c r="K15" s="12">
        <f t="shared" ref="K15:K19" si="31">J15-J14</f>
        <v>0.10304466157486331</v>
      </c>
      <c r="L15" s="5">
        <v>3.6</v>
      </c>
      <c r="M15" s="2">
        <f t="shared" si="3"/>
        <v>493.91831073990193</v>
      </c>
      <c r="N15" s="5">
        <v>348</v>
      </c>
      <c r="O15" s="2">
        <f t="shared" si="4"/>
        <v>171.88357213748586</v>
      </c>
      <c r="P15" s="2">
        <f t="shared" si="5"/>
        <v>715.39523618739145</v>
      </c>
      <c r="Q15" s="2">
        <f>'Calcs by Scenario'!$P$10-P15</f>
        <v>383.08076381260867</v>
      </c>
      <c r="R15" s="2">
        <f t="shared" ref="R15" si="32">50/L15</f>
        <v>13.888888888888889</v>
      </c>
      <c r="S15" s="2">
        <f>R15*Rough1!$B$25/1000000/1000</f>
        <v>3.5797391250000001</v>
      </c>
      <c r="T15" s="11">
        <f t="shared" si="7"/>
        <v>1.0551930112244758</v>
      </c>
      <c r="U15" s="5">
        <f t="shared" si="16"/>
        <v>115</v>
      </c>
      <c r="V15" s="2">
        <f t="shared" si="8"/>
        <v>0.41166999937500004</v>
      </c>
      <c r="W15" s="11">
        <f>V15/(Q15*Rough1!$B$26)*1000</f>
        <v>0.10746297863611246</v>
      </c>
      <c r="X15" s="8">
        <f>V15/(I15*Rough1!$B$26)*1000</f>
        <v>2.315216405580578E-2</v>
      </c>
      <c r="Y15" s="4">
        <v>3</v>
      </c>
      <c r="Z15" s="1">
        <f t="shared" si="9"/>
        <v>183.45353197004013</v>
      </c>
      <c r="AA15" s="4">
        <v>0.25</v>
      </c>
      <c r="AB15" s="1">
        <f t="shared" si="10"/>
        <v>123.47957768497548</v>
      </c>
      <c r="AC15" s="1">
        <f t="shared" si="11"/>
        <v>306.93310965501564</v>
      </c>
      <c r="AD15" s="1">
        <f>'Calcs by Scenario'!$AC$10-AC15</f>
        <v>63.839617617711667</v>
      </c>
      <c r="AE15" s="8">
        <f t="shared" si="12"/>
        <v>9.047409906479377E-2</v>
      </c>
      <c r="AF15" s="14">
        <f t="shared" si="17"/>
        <v>0.80122297606454052</v>
      </c>
      <c r="AG15">
        <v>2391.06873</v>
      </c>
      <c r="AH15">
        <v>1778.1059186636469</v>
      </c>
      <c r="AI15" s="1">
        <f t="shared" si="18"/>
        <v>612.96281133635307</v>
      </c>
    </row>
    <row r="16" spans="1:35" x14ac:dyDescent="0.25">
      <c r="A16">
        <v>3</v>
      </c>
      <c r="B16" t="s">
        <v>74</v>
      </c>
      <c r="C16">
        <v>3392.4969999999998</v>
      </c>
      <c r="D16" s="3">
        <v>1479.072170485417</v>
      </c>
      <c r="E16" s="4">
        <v>26.4</v>
      </c>
      <c r="F16" s="1">
        <f t="shared" si="0"/>
        <v>56.025461003235499</v>
      </c>
      <c r="G16" s="1">
        <v>8.8879999999999999</v>
      </c>
      <c r="H16" s="1">
        <f t="shared" si="1"/>
        <v>497.95429739675711</v>
      </c>
      <c r="I16" s="2">
        <f t="shared" si="13"/>
        <v>1913.4248295145828</v>
      </c>
      <c r="J16" s="12">
        <f t="shared" si="2"/>
        <v>0.56401666074121304</v>
      </c>
      <c r="K16" s="12">
        <f t="shared" si="31"/>
        <v>3.9887702435974504E-2</v>
      </c>
      <c r="L16" s="5">
        <v>3.6</v>
      </c>
      <c r="M16" s="2">
        <f t="shared" si="3"/>
        <v>531.50689708738412</v>
      </c>
      <c r="N16" s="5">
        <v>348</v>
      </c>
      <c r="O16" s="2">
        <f t="shared" si="4"/>
        <v>184.96440018640968</v>
      </c>
      <c r="P16" s="2">
        <f t="shared" si="5"/>
        <v>682.91869758316682</v>
      </c>
      <c r="Q16" s="2">
        <f>'Calcs by Scenario'!$P$10-P16</f>
        <v>415.55730241683329</v>
      </c>
      <c r="R16" s="2">
        <f t="shared" ref="R16" si="33">75/L16</f>
        <v>20.833333333333332</v>
      </c>
      <c r="S16" s="2">
        <f>R16*Rough1!$B$25/1000000/1000</f>
        <v>5.3696086875000004</v>
      </c>
      <c r="T16" s="11">
        <f t="shared" si="7"/>
        <v>1.5827895168367137</v>
      </c>
      <c r="U16" s="5">
        <f t="shared" si="16"/>
        <v>115</v>
      </c>
      <c r="V16" s="2">
        <f t="shared" si="8"/>
        <v>0.6175049990625</v>
      </c>
      <c r="W16" s="11">
        <f>V16/(Q16*Rough1!$B$26)*1000</f>
        <v>0.14859683501436799</v>
      </c>
      <c r="X16" s="8">
        <f>V16/(I16*Rough1!$B$26)*1000</f>
        <v>3.2272237170621165E-2</v>
      </c>
      <c r="Y16" s="4">
        <v>3</v>
      </c>
      <c r="Z16" s="1">
        <f t="shared" si="9"/>
        <v>168.07638300970649</v>
      </c>
      <c r="AA16" s="4">
        <v>0.25</v>
      </c>
      <c r="AB16" s="1">
        <f t="shared" si="10"/>
        <v>132.87672427184603</v>
      </c>
      <c r="AC16" s="1">
        <f t="shared" si="11"/>
        <v>300.95310728155255</v>
      </c>
      <c r="AD16" s="1">
        <f>'Calcs by Scenario'!$AC$10-AC16</f>
        <v>69.819619991174761</v>
      </c>
      <c r="AE16" s="8">
        <f t="shared" si="12"/>
        <v>8.8711384941991864E-2</v>
      </c>
      <c r="AF16" s="14">
        <f t="shared" si="17"/>
        <v>0.72421566299339235</v>
      </c>
      <c r="AG16">
        <v>2551.0080800000001</v>
      </c>
      <c r="AH16">
        <v>1913.4248295145828</v>
      </c>
      <c r="AI16" s="1">
        <f t="shared" si="18"/>
        <v>637.58325048541724</v>
      </c>
    </row>
    <row r="17" spans="1:35" x14ac:dyDescent="0.25">
      <c r="A17">
        <v>3</v>
      </c>
      <c r="B17" t="s">
        <v>77</v>
      </c>
      <c r="C17">
        <v>3392.4969999999998</v>
      </c>
      <c r="D17" s="3">
        <v>1343.753259634482</v>
      </c>
      <c r="E17" s="4">
        <v>26.4</v>
      </c>
      <c r="F17" s="1">
        <f t="shared" si="0"/>
        <v>50.899744683124318</v>
      </c>
      <c r="G17" s="1">
        <v>8.8879999999999999</v>
      </c>
      <c r="H17" s="1">
        <f t="shared" si="1"/>
        <v>452.39693074360895</v>
      </c>
      <c r="I17" s="2">
        <f t="shared" si="13"/>
        <v>2048.7437403655176</v>
      </c>
      <c r="J17" s="12">
        <f t="shared" si="2"/>
        <v>0.6039043631771871</v>
      </c>
      <c r="K17" s="12">
        <f t="shared" si="31"/>
        <v>3.988770243597406E-2</v>
      </c>
      <c r="L17" s="5">
        <v>3.6</v>
      </c>
      <c r="M17" s="2">
        <f t="shared" si="3"/>
        <v>569.09548343486597</v>
      </c>
      <c r="N17" s="5">
        <v>348</v>
      </c>
      <c r="O17" s="2">
        <f t="shared" si="4"/>
        <v>198.04522823533335</v>
      </c>
      <c r="P17" s="2">
        <f t="shared" si="5"/>
        <v>650.4421589789423</v>
      </c>
      <c r="Q17" s="2">
        <f>'Calcs by Scenario'!$P$10-P17</f>
        <v>448.03384102105781</v>
      </c>
      <c r="R17" s="2">
        <f t="shared" ref="R17" si="34">100/L17</f>
        <v>27.777777777777779</v>
      </c>
      <c r="S17" s="2">
        <f>R17*Rough1!$B$25/1000000/1000</f>
        <v>7.1594782500000003</v>
      </c>
      <c r="T17" s="11">
        <f t="shared" si="7"/>
        <v>2.1103860224489517</v>
      </c>
      <c r="U17" s="5">
        <f t="shared" si="16"/>
        <v>115</v>
      </c>
      <c r="V17" s="2">
        <f t="shared" si="8"/>
        <v>0.82333999875000008</v>
      </c>
      <c r="W17" s="11">
        <f>V17/(Q17*Rough1!$B$26)*1000</f>
        <v>0.18376736830272217</v>
      </c>
      <c r="X17" s="8">
        <f>V17/(I17*Rough1!$B$26)*1000</f>
        <v>4.0187554086345008E-2</v>
      </c>
      <c r="Y17" s="4">
        <v>3</v>
      </c>
      <c r="Z17" s="1">
        <f t="shared" si="9"/>
        <v>152.69923404937296</v>
      </c>
      <c r="AA17" s="4">
        <v>0.25</v>
      </c>
      <c r="AB17" s="1">
        <f t="shared" si="10"/>
        <v>142.27387085871649</v>
      </c>
      <c r="AC17" s="1">
        <f t="shared" si="11"/>
        <v>294.97310490808945</v>
      </c>
      <c r="AD17" s="1">
        <f>'Calcs by Scenario'!$AC$10-AC17</f>
        <v>75.799622364637855</v>
      </c>
      <c r="AE17" s="8">
        <f t="shared" si="12"/>
        <v>8.6948670819189958E-2</v>
      </c>
      <c r="AF17" s="14">
        <f t="shared" si="17"/>
        <v>0.65837237704154938</v>
      </c>
      <c r="AG17">
        <v>2710.9474310000001</v>
      </c>
      <c r="AH17">
        <v>2048.7437403655176</v>
      </c>
      <c r="AI17" s="1">
        <f t="shared" si="18"/>
        <v>662.20369063448243</v>
      </c>
    </row>
    <row r="18" spans="1:35" x14ac:dyDescent="0.25">
      <c r="A18">
        <v>3</v>
      </c>
      <c r="B18" t="s">
        <v>78</v>
      </c>
      <c r="C18">
        <v>3392.4969999999998</v>
      </c>
      <c r="D18" s="3">
        <v>1280.7155505725209</v>
      </c>
      <c r="E18" s="4">
        <v>26.4</v>
      </c>
      <c r="F18" s="1">
        <f t="shared" si="0"/>
        <v>48.511952673201549</v>
      </c>
      <c r="G18" s="1">
        <v>8.8879999999999999</v>
      </c>
      <c r="H18" s="1">
        <f t="shared" si="1"/>
        <v>431.17423535941538</v>
      </c>
      <c r="I18" s="2">
        <f t="shared" si="13"/>
        <v>2111.7814494274789</v>
      </c>
      <c r="J18" s="12">
        <f t="shared" si="2"/>
        <v>0.62248587085780149</v>
      </c>
      <c r="K18" s="12">
        <f t="shared" si="31"/>
        <v>1.8581507680614395E-2</v>
      </c>
      <c r="L18" s="5">
        <v>3.6</v>
      </c>
      <c r="M18" s="2">
        <f t="shared" si="3"/>
        <v>586.60595817429964</v>
      </c>
      <c r="N18" s="5">
        <v>348</v>
      </c>
      <c r="O18" s="2">
        <f t="shared" si="4"/>
        <v>204.13887344465627</v>
      </c>
      <c r="P18" s="2">
        <f t="shared" si="5"/>
        <v>635.31310880407159</v>
      </c>
      <c r="Q18" s="2">
        <f>'Calcs by Scenario'!$P$10-P18</f>
        <v>463.16289119592852</v>
      </c>
      <c r="R18" s="2">
        <f t="shared" ref="R18" si="35">125/L18</f>
        <v>34.722222222222221</v>
      </c>
      <c r="S18" s="2">
        <f>R18*Rough1!$B$25/1000000/1000</f>
        <v>8.949347812500001</v>
      </c>
      <c r="T18" s="11">
        <f t="shared" si="7"/>
        <v>2.6379825280611895</v>
      </c>
      <c r="U18" s="5">
        <f t="shared" si="16"/>
        <v>115</v>
      </c>
      <c r="V18" s="2">
        <f t="shared" si="8"/>
        <v>1.0291749984375</v>
      </c>
      <c r="W18" s="11">
        <f>V18/(Q18*Rough1!$B$26)*1000</f>
        <v>0.22220584118474537</v>
      </c>
      <c r="X18" s="8">
        <f>V18/(I18*Rough1!$B$26)*1000</f>
        <v>4.8734919928220682E-2</v>
      </c>
      <c r="Y18" s="4">
        <v>3</v>
      </c>
      <c r="Z18" s="1">
        <f t="shared" si="9"/>
        <v>145.53585801960463</v>
      </c>
      <c r="AA18" s="4">
        <v>0.25</v>
      </c>
      <c r="AB18" s="1">
        <f t="shared" si="10"/>
        <v>146.65148954357491</v>
      </c>
      <c r="AC18" s="1">
        <f t="shared" si="11"/>
        <v>292.18734756317951</v>
      </c>
      <c r="AD18" s="1">
        <f>'Calcs by Scenario'!$AC$10-AC18</f>
        <v>78.585379709547794</v>
      </c>
      <c r="AE18" s="8">
        <f t="shared" si="12"/>
        <v>8.6127518333304204E-2</v>
      </c>
      <c r="AF18" s="14">
        <f t="shared" si="17"/>
        <v>0.6308522403613237</v>
      </c>
      <c r="AG18">
        <v>2771.575362</v>
      </c>
      <c r="AH18">
        <v>2111.7814494274789</v>
      </c>
      <c r="AI18" s="1">
        <f t="shared" si="18"/>
        <v>659.79391257252109</v>
      </c>
    </row>
    <row r="19" spans="1:35" x14ac:dyDescent="0.25">
      <c r="A19">
        <v>3</v>
      </c>
      <c r="B19" t="s">
        <v>79</v>
      </c>
      <c r="C19">
        <v>3392.4969999999998</v>
      </c>
      <c r="D19" s="3">
        <v>1217.6778415105621</v>
      </c>
      <c r="E19" s="4">
        <v>26.4</v>
      </c>
      <c r="F19" s="1">
        <f t="shared" si="0"/>
        <v>46.124160663278872</v>
      </c>
      <c r="G19" s="1">
        <v>8.8879999999999999</v>
      </c>
      <c r="H19" s="1">
        <f t="shared" si="1"/>
        <v>409.9515399752226</v>
      </c>
      <c r="I19" s="2">
        <f t="shared" si="13"/>
        <v>2174.8191584894375</v>
      </c>
      <c r="J19" s="12">
        <f t="shared" si="2"/>
        <v>0.64106737853841511</v>
      </c>
      <c r="K19" s="12">
        <f t="shared" si="31"/>
        <v>1.8581507680613618E-2</v>
      </c>
      <c r="L19" s="5">
        <v>3.6</v>
      </c>
      <c r="M19" s="2">
        <f t="shared" si="3"/>
        <v>604.11643291373264</v>
      </c>
      <c r="N19" s="5">
        <v>348</v>
      </c>
      <c r="O19" s="2">
        <f t="shared" si="4"/>
        <v>210.23251865397899</v>
      </c>
      <c r="P19" s="2">
        <f t="shared" si="5"/>
        <v>620.18405862920156</v>
      </c>
      <c r="Q19" s="2">
        <f>'Calcs by Scenario'!$P$10-P19</f>
        <v>478.29194137079855</v>
      </c>
      <c r="R19" s="2">
        <f t="shared" ref="R19" si="36">150/L19</f>
        <v>41.666666666666664</v>
      </c>
      <c r="S19" s="2">
        <f>R19*Rough1!$B$25/1000000/1000</f>
        <v>10.739217375000001</v>
      </c>
      <c r="T19" s="11">
        <f t="shared" si="7"/>
        <v>3.1655790336734273</v>
      </c>
      <c r="U19" s="5">
        <f t="shared" si="16"/>
        <v>115</v>
      </c>
      <c r="V19" s="2">
        <f t="shared" si="8"/>
        <v>1.235009998125</v>
      </c>
      <c r="W19" s="11">
        <f>V19/(Q19*Rough1!$B$26)*1000</f>
        <v>0.25821258760610216</v>
      </c>
      <c r="X19" s="8">
        <f>V19/(I19*Rough1!$B$26)*1000</f>
        <v>5.6786790446650283E-2</v>
      </c>
      <c r="Y19" s="4">
        <v>3</v>
      </c>
      <c r="Z19" s="1">
        <f t="shared" si="9"/>
        <v>138.37248198983661</v>
      </c>
      <c r="AA19" s="4">
        <v>0.25</v>
      </c>
      <c r="AB19" s="1">
        <f t="shared" si="10"/>
        <v>151.02910822843316</v>
      </c>
      <c r="AC19" s="1">
        <f t="shared" si="11"/>
        <v>289.4015902182698</v>
      </c>
      <c r="AD19" s="1">
        <f>'Calcs by Scenario'!$AC$10-AC19</f>
        <v>81.371137054457506</v>
      </c>
      <c r="AE19" s="8">
        <f t="shared" si="12"/>
        <v>8.5306365847418533E-2</v>
      </c>
      <c r="AF19" s="14">
        <f t="shared" si="17"/>
        <v>0.60507310532733727</v>
      </c>
      <c r="AG19">
        <v>2832.2032940000004</v>
      </c>
      <c r="AH19">
        <v>2174.8191584894375</v>
      </c>
      <c r="AI19" s="1">
        <f t="shared" si="18"/>
        <v>657.38413551056283</v>
      </c>
    </row>
    <row r="20" spans="1:35" x14ac:dyDescent="0.25">
      <c r="A20">
        <v>2</v>
      </c>
      <c r="B20" t="s">
        <v>76</v>
      </c>
      <c r="C20">
        <v>3392.4969999999998</v>
      </c>
      <c r="D20" s="3">
        <v>2159.039715786942</v>
      </c>
      <c r="E20" s="4">
        <v>26.4</v>
      </c>
      <c r="F20" s="1">
        <f t="shared" si="0"/>
        <v>81.781807416172043</v>
      </c>
      <c r="G20" s="1">
        <v>8.8879999999999999</v>
      </c>
      <c r="H20" s="1">
        <f t="shared" si="1"/>
        <v>726.87670431493711</v>
      </c>
      <c r="I20" s="2">
        <f t="shared" si="13"/>
        <v>1233.4572842130578</v>
      </c>
      <c r="J20" s="12">
        <f t="shared" si="2"/>
        <v>0.36358389829469501</v>
      </c>
      <c r="K20" s="12"/>
      <c r="L20" s="5">
        <v>3.6</v>
      </c>
      <c r="M20" s="2">
        <f t="shared" si="3"/>
        <v>342.62702339251604</v>
      </c>
      <c r="N20" s="5">
        <v>348</v>
      </c>
      <c r="O20" s="2">
        <f t="shared" si="4"/>
        <v>119.23420414059558</v>
      </c>
      <c r="P20" s="2">
        <f t="shared" si="5"/>
        <v>846.11090845553269</v>
      </c>
      <c r="Q20" s="2">
        <f>'Calcs by Scenario'!$P$10-P20</f>
        <v>252.36509154446742</v>
      </c>
      <c r="R20" s="2">
        <f t="shared" ref="R20" si="37">25/L20</f>
        <v>6.9444444444444446</v>
      </c>
      <c r="S20" s="2">
        <f>R20*Rough1!$B$25/1000000/1000</f>
        <v>1.7898695625000001</v>
      </c>
      <c r="T20" s="11">
        <f t="shared" si="7"/>
        <v>0.52759650561223792</v>
      </c>
      <c r="U20" s="5">
        <f t="shared" si="16"/>
        <v>115</v>
      </c>
      <c r="V20" s="2">
        <f t="shared" si="8"/>
        <v>0.20583499968750002</v>
      </c>
      <c r="W20" s="11">
        <f>V20/(Q20*Rough1!$B$26)*1000</f>
        <v>8.1562389801139099E-2</v>
      </c>
      <c r="X20" s="8">
        <f>V20/(I20*Rough1!$B$26)*1000</f>
        <v>1.668764717854191E-2</v>
      </c>
      <c r="Y20" s="4">
        <v>3</v>
      </c>
      <c r="Z20" s="1">
        <f t="shared" si="9"/>
        <v>245.34542224851612</v>
      </c>
      <c r="AA20" s="4">
        <v>0.25</v>
      </c>
      <c r="AB20" s="1">
        <f t="shared" si="10"/>
        <v>85.656755848129009</v>
      </c>
      <c r="AC20" s="1">
        <f t="shared" si="11"/>
        <v>331.00217809664514</v>
      </c>
      <c r="AD20" s="1">
        <f>'Calcs by Scenario'!$AC$10-AC20</f>
        <v>39.77054917608217</v>
      </c>
      <c r="AE20" s="8">
        <f t="shared" si="12"/>
        <v>9.7568893383441505E-2</v>
      </c>
      <c r="AF20" s="14">
        <f t="shared" si="17"/>
        <v>1.311600491458311</v>
      </c>
      <c r="AG20">
        <v>1936.7492580000003</v>
      </c>
      <c r="AH20">
        <v>1233.4572842130578</v>
      </c>
      <c r="AI20" s="1">
        <f t="shared" si="18"/>
        <v>703.29197378694244</v>
      </c>
    </row>
    <row r="21" spans="1:35" x14ac:dyDescent="0.25">
      <c r="A21">
        <v>2</v>
      </c>
      <c r="B21" t="s">
        <v>75</v>
      </c>
      <c r="C21">
        <v>3392.4969999999998</v>
      </c>
      <c r="D21" s="3">
        <v>1850.395438556314</v>
      </c>
      <c r="E21" s="4">
        <v>26.4</v>
      </c>
      <c r="F21" s="1">
        <f t="shared" si="0"/>
        <v>70.090736308951293</v>
      </c>
      <c r="G21" s="1">
        <v>8.8879999999999999</v>
      </c>
      <c r="H21" s="1">
        <f t="shared" si="1"/>
        <v>622.96646431395914</v>
      </c>
      <c r="I21" s="2">
        <f t="shared" si="13"/>
        <v>1542.1015614436858</v>
      </c>
      <c r="J21" s="12">
        <f t="shared" si="2"/>
        <v>0.45456239502752277</v>
      </c>
      <c r="K21" s="12">
        <f t="shared" ref="K21:K25" si="38">J21-J20</f>
        <v>9.0978496732827763E-2</v>
      </c>
      <c r="L21" s="5">
        <v>3.6</v>
      </c>
      <c r="M21" s="2">
        <f t="shared" si="3"/>
        <v>428.36154484546825</v>
      </c>
      <c r="N21" s="5">
        <v>348</v>
      </c>
      <c r="O21" s="2">
        <f t="shared" si="4"/>
        <v>149.06981760622295</v>
      </c>
      <c r="P21" s="2">
        <f t="shared" si="5"/>
        <v>772.03628192018209</v>
      </c>
      <c r="Q21" s="2">
        <f>'Calcs by Scenario'!$P$10-P21</f>
        <v>326.43971807981802</v>
      </c>
      <c r="R21" s="2">
        <f t="shared" ref="R21" si="39">50/L21</f>
        <v>13.888888888888889</v>
      </c>
      <c r="S21" s="2">
        <f>R21*Rough1!$B$25/1000000/1000</f>
        <v>3.5797391250000001</v>
      </c>
      <c r="T21" s="11">
        <f t="shared" si="7"/>
        <v>1.0551930112244758</v>
      </c>
      <c r="U21" s="5">
        <f t="shared" si="16"/>
        <v>115</v>
      </c>
      <c r="V21" s="2">
        <f t="shared" si="8"/>
        <v>0.41166999937500004</v>
      </c>
      <c r="W21" s="11">
        <f>V21/(Q21*Rough1!$B$26)*1000</f>
        <v>0.12610904144769</v>
      </c>
      <c r="X21" s="8">
        <f>V21/(I21*Rough1!$B$26)*1000</f>
        <v>2.6695388271937324E-2</v>
      </c>
      <c r="Y21" s="4">
        <v>3</v>
      </c>
      <c r="Z21" s="1">
        <f t="shared" si="9"/>
        <v>210.27220892685386</v>
      </c>
      <c r="AA21" s="4">
        <v>0.25</v>
      </c>
      <c r="AB21" s="1">
        <f t="shared" si="10"/>
        <v>107.09038621136706</v>
      </c>
      <c r="AC21" s="1">
        <f t="shared" si="11"/>
        <v>317.36259513822091</v>
      </c>
      <c r="AD21" s="1">
        <f>'Calcs by Scenario'!$AC$10-AC21</f>
        <v>53.410132134506398</v>
      </c>
      <c r="AE21" s="8">
        <f t="shared" si="12"/>
        <v>9.3548379007622098E-2</v>
      </c>
      <c r="AF21" s="14">
        <f t="shared" si="17"/>
        <v>0.97219357069969758</v>
      </c>
      <c r="AG21">
        <v>2391.06873</v>
      </c>
      <c r="AH21">
        <v>1542.1015614436858</v>
      </c>
      <c r="AI21" s="1">
        <f t="shared" si="18"/>
        <v>848.96716855631416</v>
      </c>
    </row>
    <row r="22" spans="1:35" x14ac:dyDescent="0.25">
      <c r="A22">
        <v>2</v>
      </c>
      <c r="B22" t="s">
        <v>74</v>
      </c>
      <c r="C22">
        <v>3392.4969999999998</v>
      </c>
      <c r="D22" s="3">
        <v>1725.4024136752321</v>
      </c>
      <c r="E22" s="4">
        <v>26.4</v>
      </c>
      <c r="F22" s="1">
        <f t="shared" si="0"/>
        <v>65.356152033152739</v>
      </c>
      <c r="G22" s="1">
        <v>8.8879999999999999</v>
      </c>
      <c r="H22" s="1">
        <f t="shared" si="1"/>
        <v>580.88547927066156</v>
      </c>
      <c r="I22" s="2">
        <f t="shared" si="13"/>
        <v>1667.0945863247678</v>
      </c>
      <c r="J22" s="12">
        <f t="shared" si="2"/>
        <v>0.49140635535558846</v>
      </c>
      <c r="K22" s="12">
        <f t="shared" si="38"/>
        <v>3.6843960328065695E-2</v>
      </c>
      <c r="L22" s="5">
        <v>3.6</v>
      </c>
      <c r="M22" s="2">
        <f t="shared" si="3"/>
        <v>463.08182953465769</v>
      </c>
      <c r="N22" s="5">
        <v>348</v>
      </c>
      <c r="O22" s="2">
        <f t="shared" si="4"/>
        <v>161.15247667806085</v>
      </c>
      <c r="P22" s="2">
        <f t="shared" si="5"/>
        <v>742.03795594872236</v>
      </c>
      <c r="Q22" s="2">
        <f>'Calcs by Scenario'!$P$10-P22</f>
        <v>356.43804405127776</v>
      </c>
      <c r="R22" s="2">
        <f t="shared" ref="R22" si="40">75/L22</f>
        <v>20.833333333333332</v>
      </c>
      <c r="S22" s="2">
        <f>R22*Rough1!$B$25/1000000/1000</f>
        <v>5.3696086875000004</v>
      </c>
      <c r="T22" s="11">
        <f t="shared" si="7"/>
        <v>1.5827895168367137</v>
      </c>
      <c r="U22" s="5">
        <f t="shared" si="16"/>
        <v>115</v>
      </c>
      <c r="V22" s="2">
        <f t="shared" si="8"/>
        <v>0.6175049990625</v>
      </c>
      <c r="W22" s="11">
        <f>V22/(Q22*Rough1!$B$26)*1000</f>
        <v>0.17324329132881922</v>
      </c>
      <c r="X22" s="8">
        <f>V22/(I22*Rough1!$B$26)*1000</f>
        <v>3.7040789654523142E-2</v>
      </c>
      <c r="Y22" s="4">
        <v>3</v>
      </c>
      <c r="Z22" s="1">
        <f t="shared" si="9"/>
        <v>196.06845609945822</v>
      </c>
      <c r="AA22" s="4">
        <v>0.25</v>
      </c>
      <c r="AB22" s="1">
        <f t="shared" si="10"/>
        <v>115.77045738366442</v>
      </c>
      <c r="AC22" s="1">
        <f t="shared" si="11"/>
        <v>311.83891348312261</v>
      </c>
      <c r="AD22" s="1">
        <f>'Calcs by Scenario'!$AC$10-AC22</f>
        <v>58.933813789604699</v>
      </c>
      <c r="AE22" s="8">
        <f t="shared" si="12"/>
        <v>9.1920173690093934E-2</v>
      </c>
      <c r="AF22" s="14">
        <f t="shared" si="17"/>
        <v>0.8748755041374342</v>
      </c>
      <c r="AG22">
        <v>2551.0080800000001</v>
      </c>
      <c r="AH22">
        <v>1667.0945863247678</v>
      </c>
      <c r="AI22" s="1">
        <f t="shared" si="18"/>
        <v>883.9134936752323</v>
      </c>
    </row>
    <row r="23" spans="1:35" x14ac:dyDescent="0.25">
      <c r="A23">
        <v>2</v>
      </c>
      <c r="B23" t="s">
        <v>77</v>
      </c>
      <c r="C23">
        <v>3392.4969999999998</v>
      </c>
      <c r="D23" s="3">
        <v>1600.4093887941499</v>
      </c>
      <c r="E23" s="4">
        <v>26.4</v>
      </c>
      <c r="F23" s="1">
        <f t="shared" si="0"/>
        <v>60.621567757354164</v>
      </c>
      <c r="G23" s="1">
        <v>8.8879999999999999</v>
      </c>
      <c r="H23" s="1">
        <f t="shared" si="1"/>
        <v>538.80449422736376</v>
      </c>
      <c r="I23" s="2">
        <f t="shared" si="13"/>
        <v>1792.08761120585</v>
      </c>
      <c r="J23" s="12">
        <f t="shared" si="2"/>
        <v>0.52825031568365421</v>
      </c>
      <c r="K23" s="12">
        <f t="shared" si="38"/>
        <v>3.684396032806575E-2</v>
      </c>
      <c r="L23" s="5">
        <v>3.6</v>
      </c>
      <c r="M23" s="2">
        <f t="shared" si="3"/>
        <v>497.80211422384718</v>
      </c>
      <c r="N23" s="5">
        <v>348</v>
      </c>
      <c r="O23" s="2">
        <f t="shared" si="4"/>
        <v>173.23513574989883</v>
      </c>
      <c r="P23" s="2">
        <f t="shared" si="5"/>
        <v>712.03962997726262</v>
      </c>
      <c r="Q23" s="2">
        <f>'Calcs by Scenario'!$P$10-P23</f>
        <v>386.43637002273749</v>
      </c>
      <c r="R23" s="2">
        <f t="shared" ref="R23" si="41">100/L23</f>
        <v>27.777777777777779</v>
      </c>
      <c r="S23" s="2">
        <f>R23*Rough1!$B$25/1000000/1000</f>
        <v>7.1594782500000003</v>
      </c>
      <c r="T23" s="11">
        <f t="shared" si="7"/>
        <v>2.1103860224489517</v>
      </c>
      <c r="U23" s="5">
        <f t="shared" si="16"/>
        <v>115</v>
      </c>
      <c r="V23" s="2">
        <f t="shared" si="8"/>
        <v>0.82333999875000008</v>
      </c>
      <c r="W23" s="11">
        <f>V23/(Q23*Rough1!$B$26)*1000</f>
        <v>0.21305965551367634</v>
      </c>
      <c r="X23" s="8">
        <f>V23/(I23*Rough1!$B$26)*1000</f>
        <v>4.5943066265381721E-2</v>
      </c>
      <c r="Y23" s="4">
        <v>3</v>
      </c>
      <c r="Z23" s="1">
        <f t="shared" si="9"/>
        <v>181.86470327206248</v>
      </c>
      <c r="AA23" s="4">
        <v>0.25</v>
      </c>
      <c r="AB23" s="1">
        <f t="shared" si="10"/>
        <v>124.4505285559618</v>
      </c>
      <c r="AC23" s="1">
        <f t="shared" si="11"/>
        <v>306.31523182802425</v>
      </c>
      <c r="AD23" s="1">
        <f>'Calcs by Scenario'!$AC$10-AC23</f>
        <v>64.457495444703056</v>
      </c>
      <c r="AE23" s="8">
        <f t="shared" si="12"/>
        <v>9.029196837256577E-2</v>
      </c>
      <c r="AF23" s="14">
        <f t="shared" si="17"/>
        <v>0.79266667319642037</v>
      </c>
      <c r="AG23">
        <v>2710.9474310000001</v>
      </c>
      <c r="AH23">
        <v>1792.08761120585</v>
      </c>
      <c r="AI23" s="1">
        <f t="shared" si="18"/>
        <v>918.8598197941501</v>
      </c>
    </row>
    <row r="24" spans="1:35" x14ac:dyDescent="0.25">
      <c r="A24">
        <v>2</v>
      </c>
      <c r="B24" t="s">
        <v>78</v>
      </c>
      <c r="C24">
        <v>3392.4969999999998</v>
      </c>
      <c r="D24" s="3">
        <v>1537.3716797321899</v>
      </c>
      <c r="E24" s="4">
        <v>26.4</v>
      </c>
      <c r="F24" s="1">
        <f t="shared" si="0"/>
        <v>58.233775747431437</v>
      </c>
      <c r="G24" s="1">
        <v>8.8879999999999999</v>
      </c>
      <c r="H24" s="1">
        <f t="shared" si="1"/>
        <v>517.58179884317065</v>
      </c>
      <c r="I24" s="2">
        <f t="shared" si="13"/>
        <v>1855.1253202678099</v>
      </c>
      <c r="J24" s="12">
        <f t="shared" si="2"/>
        <v>0.54683182336426828</v>
      </c>
      <c r="K24" s="12">
        <f t="shared" si="38"/>
        <v>1.8581507680614062E-2</v>
      </c>
      <c r="L24" s="5">
        <v>3.6</v>
      </c>
      <c r="M24" s="2">
        <f t="shared" si="3"/>
        <v>515.31258896328052</v>
      </c>
      <c r="N24" s="5">
        <v>348</v>
      </c>
      <c r="O24" s="2">
        <f t="shared" si="4"/>
        <v>179.32878095922163</v>
      </c>
      <c r="P24" s="2">
        <f t="shared" si="5"/>
        <v>696.91057980239225</v>
      </c>
      <c r="Q24" s="2">
        <f>'Calcs by Scenario'!$P$10-P24</f>
        <v>401.56542019760786</v>
      </c>
      <c r="R24" s="2">
        <f t="shared" ref="R24" si="42">125/L24</f>
        <v>34.722222222222221</v>
      </c>
      <c r="S24" s="2">
        <f>R24*Rough1!$B$25/1000000/1000</f>
        <v>8.949347812500001</v>
      </c>
      <c r="T24" s="11">
        <f t="shared" si="7"/>
        <v>2.6379825280611895</v>
      </c>
      <c r="U24" s="5">
        <f t="shared" si="16"/>
        <v>115</v>
      </c>
      <c r="V24" s="2">
        <f t="shared" si="8"/>
        <v>1.0291749984375</v>
      </c>
      <c r="W24" s="11">
        <f>V24/(Q24*Rough1!$B$26)*1000</f>
        <v>0.25629074284609704</v>
      </c>
      <c r="X24" s="8">
        <f>V24/(I24*Rough1!$B$26)*1000</f>
        <v>5.5477384044810847E-2</v>
      </c>
      <c r="Y24" s="4">
        <v>3</v>
      </c>
      <c r="Z24" s="1">
        <f t="shared" si="9"/>
        <v>174.70132724229433</v>
      </c>
      <c r="AA24" s="4">
        <v>0.25</v>
      </c>
      <c r="AB24" s="1">
        <f t="shared" si="10"/>
        <v>128.82814724082013</v>
      </c>
      <c r="AC24" s="1">
        <f t="shared" si="11"/>
        <v>303.52947448311443</v>
      </c>
      <c r="AD24" s="1">
        <f>'Calcs by Scenario'!$AC$10-AC24</f>
        <v>67.243252789612882</v>
      </c>
      <c r="AE24" s="8">
        <f t="shared" si="12"/>
        <v>8.9470815886680058E-2</v>
      </c>
      <c r="AF24" s="14">
        <f t="shared" si="17"/>
        <v>0.75586556814017858</v>
      </c>
      <c r="AG24">
        <v>2771.575362</v>
      </c>
      <c r="AH24">
        <v>1855.1253202678099</v>
      </c>
      <c r="AI24" s="1">
        <f t="shared" si="18"/>
        <v>916.45004173219013</v>
      </c>
    </row>
    <row r="25" spans="1:35" x14ac:dyDescent="0.25">
      <c r="A25">
        <v>2</v>
      </c>
      <c r="B25" t="s">
        <v>79</v>
      </c>
      <c r="C25">
        <v>3392.4969999999998</v>
      </c>
      <c r="D25" s="3">
        <v>1474.33397067023</v>
      </c>
      <c r="E25" s="4">
        <v>26.4</v>
      </c>
      <c r="F25" s="1">
        <f t="shared" si="0"/>
        <v>55.845983737508718</v>
      </c>
      <c r="G25" s="1">
        <v>8.8879999999999999</v>
      </c>
      <c r="H25" s="1">
        <f t="shared" si="1"/>
        <v>496.35910345897747</v>
      </c>
      <c r="I25" s="2">
        <f t="shared" si="13"/>
        <v>1918.1630293297699</v>
      </c>
      <c r="J25" s="12">
        <f t="shared" si="2"/>
        <v>0.56541333104488223</v>
      </c>
      <c r="K25" s="12">
        <f t="shared" si="38"/>
        <v>1.8581507680613951E-2</v>
      </c>
      <c r="L25" s="5">
        <v>3.6</v>
      </c>
      <c r="M25" s="2">
        <f t="shared" si="3"/>
        <v>532.82306370271385</v>
      </c>
      <c r="N25" s="5">
        <v>348</v>
      </c>
      <c r="O25" s="2">
        <f t="shared" si="4"/>
        <v>185.4224261685444</v>
      </c>
      <c r="P25" s="2">
        <f t="shared" si="5"/>
        <v>681.78152962752188</v>
      </c>
      <c r="Q25" s="2">
        <f>'Calcs by Scenario'!$P$10-P25</f>
        <v>416.69447037247824</v>
      </c>
      <c r="R25" s="2">
        <f t="shared" ref="R25" si="43">150/L25</f>
        <v>41.666666666666664</v>
      </c>
      <c r="S25" s="2">
        <f>R25*Rough1!$B$25/1000000/1000</f>
        <v>10.739217375000001</v>
      </c>
      <c r="T25" s="11">
        <f t="shared" si="7"/>
        <v>3.1655790336734273</v>
      </c>
      <c r="U25" s="5">
        <f t="shared" si="16"/>
        <v>115</v>
      </c>
      <c r="V25" s="2">
        <f t="shared" si="8"/>
        <v>1.235009998125</v>
      </c>
      <c r="W25" s="11">
        <f>V25/(Q25*Rough1!$B$26)*1000</f>
        <v>0.29638262226543083</v>
      </c>
      <c r="X25" s="8">
        <f>V25/(I25*Rough1!$B$26)*1000</f>
        <v>6.4385038145403514E-2</v>
      </c>
      <c r="Y25" s="4">
        <v>3</v>
      </c>
      <c r="Z25" s="1">
        <f t="shared" si="9"/>
        <v>167.53795121252614</v>
      </c>
      <c r="AA25" s="4">
        <v>0.25</v>
      </c>
      <c r="AB25" s="1">
        <f t="shared" si="10"/>
        <v>133.20576592567846</v>
      </c>
      <c r="AC25" s="1">
        <f t="shared" si="11"/>
        <v>300.7437171382046</v>
      </c>
      <c r="AD25" s="1">
        <f>'Calcs by Scenario'!$AC$10-AC25</f>
        <v>70.029010134522707</v>
      </c>
      <c r="AE25" s="8">
        <f t="shared" si="12"/>
        <v>8.8649663400794346E-2</v>
      </c>
      <c r="AF25" s="14">
        <f t="shared" si="17"/>
        <v>0.7217367604359457</v>
      </c>
      <c r="AG25">
        <v>2832.2032940000004</v>
      </c>
      <c r="AH25">
        <v>1918.1630293297699</v>
      </c>
      <c r="AI25" s="1">
        <f t="shared" si="18"/>
        <v>914.0402646702305</v>
      </c>
    </row>
    <row r="30" spans="1:35" x14ac:dyDescent="0.25">
      <c r="B30" s="7"/>
    </row>
    <row r="31" spans="1:35" x14ac:dyDescent="0.25">
      <c r="E31" s="1"/>
    </row>
    <row r="32" spans="1:35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zoomScale="70" zoomScaleNormal="70" workbookViewId="0">
      <selection activeCell="E46" sqref="E46"/>
    </sheetView>
  </sheetViews>
  <sheetFormatPr defaultRowHeight="13.8" x14ac:dyDescent="0.25"/>
  <cols>
    <col min="1" max="1" width="20.296875" customWidth="1"/>
    <col min="2" max="2" width="4" bestFit="1" customWidth="1"/>
    <col min="3" max="3" width="12.8984375" bestFit="1" customWidth="1"/>
    <col min="4" max="4" width="13.59765625" bestFit="1" customWidth="1"/>
    <col min="5" max="5" width="12.59765625" bestFit="1" customWidth="1"/>
    <col min="6" max="6" width="18" bestFit="1" customWidth="1"/>
    <col min="7" max="7" width="11.69921875" bestFit="1" customWidth="1"/>
    <col min="8" max="8" width="14.5" bestFit="1" customWidth="1"/>
    <col min="9" max="9" width="15.296875" customWidth="1"/>
    <col min="10" max="10" width="13.69921875" bestFit="1" customWidth="1"/>
    <col min="11" max="11" width="12.8984375" bestFit="1" customWidth="1"/>
    <col min="12" max="12" width="14.5" bestFit="1" customWidth="1"/>
    <col min="13" max="13" width="9.69921875" bestFit="1" customWidth="1"/>
    <col min="14" max="15" width="12" bestFit="1" customWidth="1"/>
  </cols>
  <sheetData>
    <row r="1" spans="1:18" x14ac:dyDescent="0.25">
      <c r="A1" s="7" t="s">
        <v>107</v>
      </c>
      <c r="B1" s="7"/>
      <c r="C1" s="3" t="s">
        <v>108</v>
      </c>
      <c r="D1" s="7" t="s">
        <v>109</v>
      </c>
      <c r="E1" s="7" t="s">
        <v>110</v>
      </c>
      <c r="F1" s="7" t="s">
        <v>111</v>
      </c>
      <c r="G1" s="7" t="s">
        <v>112</v>
      </c>
      <c r="H1" s="7" t="s">
        <v>133</v>
      </c>
      <c r="I1" s="7" t="s">
        <v>113</v>
      </c>
      <c r="J1" s="7" t="s">
        <v>114</v>
      </c>
      <c r="K1" s="7" t="s">
        <v>134</v>
      </c>
      <c r="L1" s="3" t="s">
        <v>140</v>
      </c>
      <c r="M1" s="7" t="s">
        <v>0</v>
      </c>
      <c r="N1" t="s">
        <v>131</v>
      </c>
      <c r="O1" t="s">
        <v>132</v>
      </c>
      <c r="P1" t="s">
        <v>125</v>
      </c>
      <c r="Q1" t="s">
        <v>126</v>
      </c>
    </row>
    <row r="2" spans="1:18" x14ac:dyDescent="0.25">
      <c r="A2" s="7" t="s">
        <v>115</v>
      </c>
      <c r="B2" s="29">
        <v>0.3</v>
      </c>
      <c r="C2" s="7">
        <v>146.47200000000001</v>
      </c>
      <c r="D2" s="30">
        <f>C2/12</f>
        <v>12.206000000000001</v>
      </c>
      <c r="E2" s="31">
        <f>D2*1000000000/F2</f>
        <v>128346946.84421715</v>
      </c>
      <c r="F2" s="7">
        <v>95.101600000000005</v>
      </c>
      <c r="G2" s="23">
        <f>C2/52</f>
        <v>2.8167692307692311</v>
      </c>
      <c r="H2" s="7">
        <f>131.4</f>
        <v>131.4</v>
      </c>
      <c r="I2" s="7">
        <v>21.887599999999999</v>
      </c>
      <c r="J2" s="23">
        <f>G2*1000/H2</f>
        <v>21.436599929750614</v>
      </c>
      <c r="K2" s="7">
        <f t="shared" ref="K2:K8" si="0">J2*52</f>
        <v>1114.703196347032</v>
      </c>
      <c r="L2" s="7">
        <f>K2/2</f>
        <v>557.35159817351598</v>
      </c>
      <c r="M2" s="7">
        <f t="shared" ref="M2:M11" si="1">K2*H2*B2/1000</f>
        <v>43.941600000000001</v>
      </c>
      <c r="N2">
        <f>MAX((B2*2-$O$14)*L2,0)/1000</f>
        <v>0</v>
      </c>
      <c r="O2">
        <f>MIN($O$14,B2*2)*L2/1000</f>
        <v>0.3344109589041096</v>
      </c>
      <c r="P2">
        <f>N2*H2</f>
        <v>0</v>
      </c>
      <c r="Q2">
        <f>O2*H2</f>
        <v>43.941600000000001</v>
      </c>
    </row>
    <row r="3" spans="1:18" x14ac:dyDescent="0.25">
      <c r="A3" s="32" t="s">
        <v>116</v>
      </c>
      <c r="B3" s="29">
        <v>1</v>
      </c>
      <c r="C3" s="7">
        <v>123.01900000000001</v>
      </c>
      <c r="D3" s="30">
        <f t="shared" ref="D3:D11" si="2">C3/12</f>
        <v>10.251583333333334</v>
      </c>
      <c r="E3" s="31">
        <f t="shared" ref="E3:E11" si="3">D3*1000000000/F3</f>
        <v>128382942.02412142</v>
      </c>
      <c r="F3" s="7">
        <v>79.851600000000005</v>
      </c>
      <c r="G3" s="23">
        <f t="shared" ref="G3:G11" si="4">C3/52</f>
        <v>2.3657500000000002</v>
      </c>
      <c r="H3" s="7">
        <f t="shared" ref="H3:H11" si="5">131.4</f>
        <v>131.4</v>
      </c>
      <c r="I3" s="7">
        <v>18.377800000000001</v>
      </c>
      <c r="J3" s="23">
        <f t="shared" ref="J3:J11" si="6">G3*1000/H3</f>
        <v>18.00418569254186</v>
      </c>
      <c r="K3" s="7">
        <f t="shared" si="0"/>
        <v>936.21765601217669</v>
      </c>
      <c r="L3" s="7">
        <f t="shared" ref="L3:L11" si="7">K3/2</f>
        <v>468.10882800608834</v>
      </c>
      <c r="M3" s="7">
        <f t="shared" si="1"/>
        <v>123.01900000000003</v>
      </c>
      <c r="N3">
        <f t="shared" ref="N3:N11" si="8">MAX((B3*2-$O$14)*L3,0)/1000</f>
        <v>0</v>
      </c>
      <c r="O3">
        <f t="shared" ref="O3:O11" si="9">MIN($O$14,B3*2)*L3/1000</f>
        <v>0.93621765601217666</v>
      </c>
      <c r="P3">
        <f t="shared" ref="P3:P8" si="10">N3*H3</f>
        <v>0</v>
      </c>
      <c r="Q3">
        <f t="shared" ref="Q3:Q8" si="11">O3*H3</f>
        <v>123.01900000000002</v>
      </c>
    </row>
    <row r="4" spans="1:18" x14ac:dyDescent="0.25">
      <c r="A4" s="29" t="s">
        <v>117</v>
      </c>
      <c r="B4" s="29">
        <v>3</v>
      </c>
      <c r="C4" s="7">
        <v>63.631999999999998</v>
      </c>
      <c r="D4" s="30">
        <f t="shared" si="2"/>
        <v>5.3026666666666662</v>
      </c>
      <c r="E4" s="31">
        <f t="shared" si="3"/>
        <v>127799120.47726239</v>
      </c>
      <c r="F4" s="7">
        <v>41.492199999999997</v>
      </c>
      <c r="G4" s="23">
        <f t="shared" si="4"/>
        <v>1.2236923076923076</v>
      </c>
      <c r="H4" s="7">
        <f t="shared" si="5"/>
        <v>131.4</v>
      </c>
      <c r="I4" s="7">
        <v>9.5494000000000003</v>
      </c>
      <c r="J4" s="23">
        <f t="shared" si="6"/>
        <v>9.3127268469734208</v>
      </c>
      <c r="K4" s="7">
        <f t="shared" si="0"/>
        <v>484.2617960426179</v>
      </c>
      <c r="L4" s="7">
        <f t="shared" si="7"/>
        <v>242.13089802130895</v>
      </c>
      <c r="M4" s="7">
        <f t="shared" si="1"/>
        <v>190.89599999999996</v>
      </c>
      <c r="N4">
        <f t="shared" si="8"/>
        <v>0</v>
      </c>
      <c r="O4">
        <f t="shared" si="9"/>
        <v>1.4527853881278538</v>
      </c>
      <c r="P4">
        <f t="shared" si="10"/>
        <v>0</v>
      </c>
      <c r="Q4">
        <f t="shared" si="11"/>
        <v>190.89600000000002</v>
      </c>
    </row>
    <row r="5" spans="1:18" x14ac:dyDescent="0.25">
      <c r="A5" s="29" t="s">
        <v>118</v>
      </c>
      <c r="B5" s="29">
        <v>5</v>
      </c>
      <c r="C5" s="7">
        <v>81.915999999999997</v>
      </c>
      <c r="D5" s="30">
        <f t="shared" si="2"/>
        <v>6.8263333333333334</v>
      </c>
      <c r="E5" s="31">
        <f t="shared" si="3"/>
        <v>126468383.21297254</v>
      </c>
      <c r="F5" s="7">
        <v>53.976599999999998</v>
      </c>
      <c r="G5" s="23">
        <f t="shared" si="4"/>
        <v>1.5753076923076923</v>
      </c>
      <c r="H5" s="7">
        <f t="shared" si="5"/>
        <v>131.4</v>
      </c>
      <c r="I5" s="7">
        <v>12.422700000000001</v>
      </c>
      <c r="J5" s="23">
        <f t="shared" si="6"/>
        <v>11.988643016040276</v>
      </c>
      <c r="K5" s="7">
        <f t="shared" si="0"/>
        <v>623.40943683409432</v>
      </c>
      <c r="L5" s="7">
        <f t="shared" si="7"/>
        <v>311.70471841704716</v>
      </c>
      <c r="M5" s="7">
        <f t="shared" si="1"/>
        <v>409.58</v>
      </c>
      <c r="N5">
        <f t="shared" si="8"/>
        <v>0</v>
      </c>
      <c r="O5">
        <f t="shared" si="9"/>
        <v>3.1170471841704717</v>
      </c>
      <c r="P5">
        <f t="shared" si="10"/>
        <v>0</v>
      </c>
      <c r="Q5">
        <f t="shared" si="11"/>
        <v>409.58</v>
      </c>
    </row>
    <row r="6" spans="1:18" x14ac:dyDescent="0.25">
      <c r="A6" s="29" t="s">
        <v>119</v>
      </c>
      <c r="B6" s="29">
        <v>10</v>
      </c>
      <c r="C6" s="7">
        <v>77.730999999999995</v>
      </c>
      <c r="D6" s="30">
        <f t="shared" si="2"/>
        <v>6.4775833333333326</v>
      </c>
      <c r="E6" s="31">
        <f t="shared" si="3"/>
        <v>124344611.70683138</v>
      </c>
      <c r="F6" s="7">
        <v>52.093800000000002</v>
      </c>
      <c r="G6" s="23">
        <f t="shared" si="4"/>
        <v>1.4948269230769229</v>
      </c>
      <c r="H6" s="7">
        <f t="shared" si="5"/>
        <v>131.4</v>
      </c>
      <c r="I6" s="7">
        <v>11.9894</v>
      </c>
      <c r="J6" s="23">
        <f t="shared" si="6"/>
        <v>11.376156187800021</v>
      </c>
      <c r="K6" s="7">
        <f t="shared" si="0"/>
        <v>591.56012176560102</v>
      </c>
      <c r="L6" s="7">
        <f t="shared" si="7"/>
        <v>295.78006088280051</v>
      </c>
      <c r="M6" s="7">
        <f t="shared" si="1"/>
        <v>777.30999999999972</v>
      </c>
      <c r="N6">
        <f t="shared" si="8"/>
        <v>0</v>
      </c>
      <c r="O6">
        <f t="shared" si="9"/>
        <v>5.9156012176560111</v>
      </c>
      <c r="P6">
        <f t="shared" si="10"/>
        <v>0</v>
      </c>
      <c r="Q6">
        <f t="shared" si="11"/>
        <v>777.31</v>
      </c>
    </row>
    <row r="7" spans="1:18" x14ac:dyDescent="0.25">
      <c r="A7" s="7" t="s">
        <v>120</v>
      </c>
      <c r="B7" s="7">
        <v>25</v>
      </c>
      <c r="C7" s="7">
        <v>24.428000000000001</v>
      </c>
      <c r="D7" s="30">
        <f t="shared" si="2"/>
        <v>2.0356666666666667</v>
      </c>
      <c r="E7" s="31">
        <f t="shared" si="3"/>
        <v>125634395.06431898</v>
      </c>
      <c r="F7" s="7">
        <v>16.203099999999999</v>
      </c>
      <c r="G7" s="23">
        <f t="shared" si="4"/>
        <v>0.46976923076923077</v>
      </c>
      <c r="H7" s="7">
        <f t="shared" si="5"/>
        <v>131.4</v>
      </c>
      <c r="I7" s="7">
        <v>3.7290999999999999</v>
      </c>
      <c r="J7" s="23">
        <f t="shared" si="6"/>
        <v>3.5751083011356983</v>
      </c>
      <c r="K7" s="7">
        <f t="shared" si="0"/>
        <v>185.90563165905633</v>
      </c>
      <c r="L7" s="7">
        <f t="shared" si="7"/>
        <v>92.952815829528163</v>
      </c>
      <c r="M7" s="7">
        <f t="shared" si="1"/>
        <v>610.70000000000016</v>
      </c>
      <c r="N7">
        <f t="shared" si="8"/>
        <v>0</v>
      </c>
      <c r="O7">
        <f t="shared" si="9"/>
        <v>4.647640791476408</v>
      </c>
      <c r="P7">
        <f t="shared" si="10"/>
        <v>0</v>
      </c>
      <c r="Q7">
        <f t="shared" si="11"/>
        <v>610.70000000000005</v>
      </c>
    </row>
    <row r="8" spans="1:18" x14ac:dyDescent="0.25">
      <c r="A8" s="7" t="s">
        <v>121</v>
      </c>
      <c r="B8" s="7">
        <v>50</v>
      </c>
      <c r="C8" s="7">
        <v>8.2449999999999992</v>
      </c>
      <c r="D8" s="30">
        <f t="shared" si="2"/>
        <v>0.68708333333333327</v>
      </c>
      <c r="E8" s="31">
        <f t="shared" si="3"/>
        <v>128954661.7618538</v>
      </c>
      <c r="F8" s="7">
        <v>5.3281000000000001</v>
      </c>
      <c r="G8" s="23">
        <f t="shared" si="4"/>
        <v>0.15855769230769229</v>
      </c>
      <c r="H8" s="7">
        <f t="shared" si="5"/>
        <v>131.4</v>
      </c>
      <c r="I8" s="7">
        <v>1.2262999999999999</v>
      </c>
      <c r="J8" s="23">
        <f t="shared" si="6"/>
        <v>1.2066795457206414</v>
      </c>
      <c r="K8" s="7">
        <f t="shared" si="0"/>
        <v>62.747336377473353</v>
      </c>
      <c r="L8" s="7">
        <f t="shared" si="7"/>
        <v>31.373668188736676</v>
      </c>
      <c r="M8" s="7">
        <f t="shared" si="1"/>
        <v>412.24999999999989</v>
      </c>
      <c r="N8">
        <f t="shared" si="8"/>
        <v>0</v>
      </c>
      <c r="O8">
        <f t="shared" si="9"/>
        <v>3.1373668188736676</v>
      </c>
      <c r="P8">
        <f t="shared" si="10"/>
        <v>0</v>
      </c>
      <c r="Q8">
        <f t="shared" si="11"/>
        <v>412.24999999999994</v>
      </c>
    </row>
    <row r="9" spans="1:18" x14ac:dyDescent="0.25">
      <c r="A9" s="7" t="s">
        <v>122</v>
      </c>
      <c r="B9" s="7">
        <v>100</v>
      </c>
      <c r="C9" s="7">
        <v>3.7480000000000002</v>
      </c>
      <c r="D9" s="30">
        <f t="shared" si="2"/>
        <v>0.31233333333333335</v>
      </c>
      <c r="E9" s="31">
        <f t="shared" si="3"/>
        <v>131508771.92982458</v>
      </c>
      <c r="F9" s="7">
        <v>2.375</v>
      </c>
      <c r="G9" s="23">
        <f t="shared" si="4"/>
        <v>7.207692307692308E-2</v>
      </c>
      <c r="H9" s="7">
        <f t="shared" si="5"/>
        <v>131.4</v>
      </c>
      <c r="I9" s="7">
        <v>0.54659999999999997</v>
      </c>
      <c r="J9" s="23">
        <f t="shared" si="6"/>
        <v>0.54853061702376771</v>
      </c>
      <c r="K9" s="7">
        <f>J9*52</f>
        <v>28.523592085235922</v>
      </c>
      <c r="L9" s="7">
        <f t="shared" si="7"/>
        <v>14.261796042617961</v>
      </c>
      <c r="M9" s="7">
        <f t="shared" si="1"/>
        <v>374.80000000000007</v>
      </c>
      <c r="N9">
        <f>MAX((B9*2-$O$14)*L9,0)/1000</f>
        <v>0.71308980213089812</v>
      </c>
      <c r="O9">
        <f>MIN($O$14,B9*2)*L9/1000</f>
        <v>2.1392694063926943</v>
      </c>
      <c r="P9">
        <f>N9*H9</f>
        <v>93.700000000000017</v>
      </c>
      <c r="Q9">
        <f>O9*H9</f>
        <v>281.10000000000002</v>
      </c>
    </row>
    <row r="10" spans="1:18" x14ac:dyDescent="0.25">
      <c r="A10" s="29" t="s">
        <v>123</v>
      </c>
      <c r="B10" s="29">
        <v>250</v>
      </c>
      <c r="C10" s="7">
        <v>0.77400000000000002</v>
      </c>
      <c r="D10" s="30">
        <f t="shared" si="2"/>
        <v>6.4500000000000002E-2</v>
      </c>
      <c r="E10" s="31">
        <f t="shared" si="3"/>
        <v>133154417.83649877</v>
      </c>
      <c r="F10" s="7">
        <v>0.4844</v>
      </c>
      <c r="G10" s="23">
        <f t="shared" si="4"/>
        <v>1.4884615384615385E-2</v>
      </c>
      <c r="H10" s="7">
        <f t="shared" si="5"/>
        <v>131.4</v>
      </c>
      <c r="I10" s="7">
        <v>0.1115</v>
      </c>
      <c r="J10" s="23">
        <f t="shared" si="6"/>
        <v>0.11327713382507903</v>
      </c>
      <c r="K10" s="7">
        <f t="shared" ref="K10:K11" si="12">J10*52</f>
        <v>5.89041095890411</v>
      </c>
      <c r="L10" s="7">
        <f t="shared" si="7"/>
        <v>2.945205479452055</v>
      </c>
      <c r="M10" s="7">
        <f t="shared" si="1"/>
        <v>193.50000000000003</v>
      </c>
      <c r="N10">
        <f t="shared" si="8"/>
        <v>1.0308219178082192</v>
      </c>
      <c r="O10">
        <f t="shared" si="9"/>
        <v>0.44178082191780821</v>
      </c>
      <c r="P10" s="28">
        <f>N10*H10</f>
        <v>135.45000000000002</v>
      </c>
      <c r="Q10">
        <f>O10*H10</f>
        <v>58.050000000000004</v>
      </c>
    </row>
    <row r="11" spans="1:18" x14ac:dyDescent="0.25">
      <c r="A11" s="7" t="s">
        <v>124</v>
      </c>
      <c r="B11" s="7">
        <v>500</v>
      </c>
      <c r="C11" s="7">
        <v>0.51300000000000001</v>
      </c>
      <c r="D11" s="30">
        <f t="shared" si="2"/>
        <v>4.2750000000000003E-2</v>
      </c>
      <c r="E11" s="31">
        <f t="shared" si="3"/>
        <v>124345549.7382199</v>
      </c>
      <c r="F11" s="7">
        <v>0.34379999999999999</v>
      </c>
      <c r="G11" s="23">
        <f t="shared" si="4"/>
        <v>9.8653846153846161E-3</v>
      </c>
      <c r="H11" s="7">
        <f t="shared" si="5"/>
        <v>131.4</v>
      </c>
      <c r="I11" s="7">
        <v>7.9100000000000004E-2</v>
      </c>
      <c r="J11" s="23">
        <f t="shared" si="6"/>
        <v>7.5079030558482626E-2</v>
      </c>
      <c r="K11" s="7">
        <f t="shared" si="12"/>
        <v>3.9041095890410964</v>
      </c>
      <c r="L11" s="7">
        <f t="shared" si="7"/>
        <v>1.9520547945205482</v>
      </c>
      <c r="M11" s="7">
        <f t="shared" si="1"/>
        <v>256.50000000000006</v>
      </c>
      <c r="N11">
        <f t="shared" si="8"/>
        <v>1.6592465753424661</v>
      </c>
      <c r="O11">
        <f t="shared" si="9"/>
        <v>0.29280821917808225</v>
      </c>
      <c r="P11" s="28">
        <f>N11*H11</f>
        <v>218.02500000000006</v>
      </c>
      <c r="Q11">
        <f>O11*H11</f>
        <v>38.475000000000009</v>
      </c>
    </row>
    <row r="12" spans="1:18" x14ac:dyDescent="0.25">
      <c r="M12">
        <f>SUM(M2:M11)</f>
        <v>3392.4965999999999</v>
      </c>
      <c r="N12">
        <f>SUM(N2:N11)</f>
        <v>3.4031582952815835</v>
      </c>
      <c r="O12">
        <f>SUM(O2:O11)</f>
        <v>22.41492846270928</v>
      </c>
      <c r="P12" s="28">
        <f>SUM(P2:P11)</f>
        <v>447.17500000000007</v>
      </c>
      <c r="Q12">
        <f>SUM(Q2:Q11)</f>
        <v>2945.3216000000002</v>
      </c>
    </row>
    <row r="13" spans="1:18" x14ac:dyDescent="0.25">
      <c r="M13" t="s">
        <v>138</v>
      </c>
      <c r="N13">
        <f>N12+O12</f>
        <v>25.818086757990862</v>
      </c>
      <c r="Q13">
        <f>Q12+P12</f>
        <v>3392.4966000000004</v>
      </c>
      <c r="R13" t="s">
        <v>139</v>
      </c>
    </row>
    <row r="14" spans="1:18" x14ac:dyDescent="0.25">
      <c r="N14" t="s">
        <v>127</v>
      </c>
      <c r="O14" s="28">
        <v>150</v>
      </c>
    </row>
    <row r="15" spans="1:18" x14ac:dyDescent="0.25">
      <c r="F15" t="s">
        <v>139</v>
      </c>
      <c r="G15">
        <f>SUMPRODUCT(G2:G11,B2:B11)*52</f>
        <v>3392.4965999999999</v>
      </c>
      <c r="I15">
        <f>SUMPRODUCT(J2:J11,B2:B11)*52*131.4/1000</f>
        <v>3392.4965999999995</v>
      </c>
    </row>
    <row r="16" spans="1:18" x14ac:dyDescent="0.25">
      <c r="F16" t="s">
        <v>136</v>
      </c>
      <c r="G16">
        <f>G15/H11</f>
        <v>25.818086757990866</v>
      </c>
      <c r="J16" s="11">
        <f>SUM(J2:J8)</f>
        <v>76.900099519962538</v>
      </c>
    </row>
    <row r="18" spans="6:10" x14ac:dyDescent="0.25">
      <c r="F18" t="s">
        <v>135</v>
      </c>
      <c r="G18">
        <v>3262.8</v>
      </c>
    </row>
    <row r="19" spans="6:10" x14ac:dyDescent="0.25">
      <c r="F19" t="s">
        <v>137</v>
      </c>
      <c r="G19">
        <f>G18/H11</f>
        <v>24.831050228310502</v>
      </c>
    </row>
    <row r="22" spans="6:10" x14ac:dyDescent="0.25">
      <c r="G22">
        <f>(G15-G18)/G18</f>
        <v>3.9750091945568146E-2</v>
      </c>
    </row>
    <row r="27" spans="6:10" x14ac:dyDescent="0.25">
      <c r="H27" s="7"/>
      <c r="I27" s="7"/>
      <c r="J27" s="7"/>
    </row>
    <row r="28" spans="6:10" x14ac:dyDescent="0.25">
      <c r="H28" s="7"/>
      <c r="I28" s="7"/>
      <c r="J28" s="7"/>
    </row>
    <row r="29" spans="6:10" x14ac:dyDescent="0.25">
      <c r="H29" s="7"/>
      <c r="I29" s="7"/>
      <c r="J29" s="7"/>
    </row>
    <row r="30" spans="6:10" x14ac:dyDescent="0.25">
      <c r="H30" s="7"/>
      <c r="I30" s="7"/>
      <c r="J30" s="7"/>
    </row>
    <row r="31" spans="6:10" x14ac:dyDescent="0.25">
      <c r="H31" s="7"/>
      <c r="I31" s="7"/>
      <c r="J31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B13" sqref="B13"/>
    </sheetView>
  </sheetViews>
  <sheetFormatPr defaultRowHeight="13.8" x14ac:dyDescent="0.25"/>
  <cols>
    <col min="1" max="1" width="26.59765625" bestFit="1" customWidth="1"/>
    <col min="2" max="2" width="24.8984375" bestFit="1" customWidth="1"/>
  </cols>
  <sheetData>
    <row r="1" spans="1:3" x14ac:dyDescent="0.25">
      <c r="A1" s="9" t="s">
        <v>48</v>
      </c>
      <c r="B1" t="s">
        <v>58</v>
      </c>
      <c r="C1" t="s">
        <v>59</v>
      </c>
    </row>
    <row r="2" spans="1:3" x14ac:dyDescent="0.25">
      <c r="A2" t="s">
        <v>61</v>
      </c>
      <c r="B2" t="s">
        <v>60</v>
      </c>
    </row>
    <row r="3" spans="1:3" x14ac:dyDescent="0.25">
      <c r="A3" t="s">
        <v>49</v>
      </c>
      <c r="B3" t="s">
        <v>62</v>
      </c>
    </row>
    <row r="4" spans="1:3" x14ac:dyDescent="0.25">
      <c r="A4" t="s">
        <v>50</v>
      </c>
      <c r="B4" t="s">
        <v>68</v>
      </c>
    </row>
    <row r="5" spans="1:3" x14ac:dyDescent="0.25">
      <c r="A5" t="s">
        <v>55</v>
      </c>
      <c r="B5" t="s">
        <v>65</v>
      </c>
    </row>
    <row r="6" spans="1:3" x14ac:dyDescent="0.25">
      <c r="A6" t="s">
        <v>66</v>
      </c>
      <c r="B6" t="s">
        <v>67</v>
      </c>
    </row>
    <row r="7" spans="1:3" x14ac:dyDescent="0.25">
      <c r="A7" t="s">
        <v>51</v>
      </c>
      <c r="B7" t="s">
        <v>69</v>
      </c>
    </row>
    <row r="8" spans="1:3" x14ac:dyDescent="0.25">
      <c r="A8" t="s">
        <v>52</v>
      </c>
      <c r="B8" t="s">
        <v>70</v>
      </c>
    </row>
    <row r="9" spans="1:3" x14ac:dyDescent="0.25">
      <c r="A9" t="s">
        <v>53</v>
      </c>
      <c r="B9" t="s">
        <v>63</v>
      </c>
    </row>
    <row r="10" spans="1:3" x14ac:dyDescent="0.25">
      <c r="A10" t="s">
        <v>54</v>
      </c>
      <c r="B10">
        <v>11408</v>
      </c>
    </row>
    <row r="11" spans="1:3" x14ac:dyDescent="0.25">
      <c r="A11" t="s">
        <v>56</v>
      </c>
      <c r="B11">
        <v>13476</v>
      </c>
    </row>
    <row r="12" spans="1:3" x14ac:dyDescent="0.25">
      <c r="A12" t="s">
        <v>64</v>
      </c>
      <c r="B12">
        <v>3262.8</v>
      </c>
    </row>
    <row r="13" spans="1:3" x14ac:dyDescent="0.25">
      <c r="A13" t="s">
        <v>57</v>
      </c>
      <c r="B1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Views>
    <sheetView workbookViewId="0">
      <selection activeCell="J11" sqref="J11"/>
    </sheetView>
  </sheetViews>
  <sheetFormatPr defaultRowHeight="13.8" x14ac:dyDescent="0.25"/>
  <cols>
    <col min="1" max="1" width="8.69921875" bestFit="1" customWidth="1"/>
    <col min="2" max="2" width="22.09765625" bestFit="1" customWidth="1"/>
    <col min="3" max="3" width="11.59765625" bestFit="1" customWidth="1"/>
    <col min="5" max="5" width="10.8984375" bestFit="1" customWidth="1"/>
    <col min="6" max="6" width="26.296875" bestFit="1" customWidth="1"/>
    <col min="7" max="7" width="14.69921875" bestFit="1" customWidth="1"/>
    <col min="8" max="8" width="8.69921875" bestFit="1" customWidth="1"/>
    <col min="9" max="9" width="15.296875" bestFit="1" customWidth="1"/>
    <col min="10" max="10" width="28" bestFit="1" customWidth="1"/>
    <col min="11" max="11" width="23.8984375" bestFit="1" customWidth="1"/>
    <col min="12" max="12" width="18.8984375" bestFit="1" customWidth="1"/>
  </cols>
  <sheetData>
    <row r="1" spans="1:26" x14ac:dyDescent="0.25">
      <c r="A1" s="19" t="s">
        <v>71</v>
      </c>
      <c r="B1" s="19" t="s">
        <v>72</v>
      </c>
      <c r="C1" s="19" t="s">
        <v>17</v>
      </c>
      <c r="D1" s="19" t="s">
        <v>14</v>
      </c>
      <c r="E1" s="19" t="s">
        <v>6</v>
      </c>
      <c r="F1" s="19" t="s">
        <v>18</v>
      </c>
      <c r="G1" s="19" t="s">
        <v>20</v>
      </c>
      <c r="H1" s="19" t="s">
        <v>19</v>
      </c>
      <c r="I1" s="19" t="s">
        <v>21</v>
      </c>
      <c r="J1" s="19" t="s">
        <v>96</v>
      </c>
      <c r="K1" s="19" t="s">
        <v>24</v>
      </c>
      <c r="L1" s="19" t="s">
        <v>90</v>
      </c>
      <c r="M1" s="7" t="s">
        <v>27</v>
      </c>
      <c r="N1" s="7" t="s">
        <v>26</v>
      </c>
      <c r="O1" s="7" t="s">
        <v>28</v>
      </c>
      <c r="P1" s="7" t="s">
        <v>84</v>
      </c>
      <c r="Q1" s="7" t="s">
        <v>81</v>
      </c>
      <c r="R1" s="7" t="s">
        <v>82</v>
      </c>
      <c r="S1" s="7" t="s">
        <v>32</v>
      </c>
      <c r="T1" s="7" t="s">
        <v>30</v>
      </c>
      <c r="U1" s="7" t="s">
        <v>29</v>
      </c>
      <c r="V1" s="7" t="s">
        <v>83</v>
      </c>
      <c r="W1" s="7" t="s">
        <v>91</v>
      </c>
      <c r="X1" s="7" t="s">
        <v>31</v>
      </c>
      <c r="Y1" s="7" t="s">
        <v>87</v>
      </c>
      <c r="Z1" s="7" t="s">
        <v>92</v>
      </c>
    </row>
    <row r="2" spans="1:26" x14ac:dyDescent="0.25">
      <c r="A2" s="7" t="s">
        <v>12</v>
      </c>
      <c r="B2" s="7" t="s">
        <v>73</v>
      </c>
      <c r="C2" s="15">
        <v>3262.8</v>
      </c>
      <c r="D2" s="15">
        <v>36</v>
      </c>
      <c r="E2" s="15">
        <v>90.63333333333334</v>
      </c>
      <c r="F2" s="15">
        <v>805.5490666666667</v>
      </c>
      <c r="G2" s="16">
        <v>0</v>
      </c>
      <c r="H2" s="7">
        <v>2.9</v>
      </c>
      <c r="I2" s="16">
        <v>0</v>
      </c>
      <c r="J2" s="16">
        <v>0</v>
      </c>
      <c r="K2" s="16">
        <v>805.5490666666667</v>
      </c>
      <c r="L2" s="16">
        <v>0</v>
      </c>
      <c r="M2" s="16">
        <v>0</v>
      </c>
      <c r="N2" s="16">
        <v>0</v>
      </c>
      <c r="O2" s="7">
        <v>150</v>
      </c>
      <c r="P2" s="16">
        <v>0</v>
      </c>
      <c r="Q2" s="20" t="s">
        <v>80</v>
      </c>
      <c r="R2" s="20" t="s">
        <v>80</v>
      </c>
      <c r="S2" s="15">
        <v>2</v>
      </c>
      <c r="T2" s="15">
        <v>181.26666666666668</v>
      </c>
      <c r="U2" s="15">
        <v>0.4</v>
      </c>
      <c r="V2" s="15">
        <v>0</v>
      </c>
      <c r="W2" s="15">
        <v>181.26666666666668</v>
      </c>
      <c r="X2" s="15">
        <v>0</v>
      </c>
      <c r="Y2" s="21">
        <v>5.5555555555555559E-2</v>
      </c>
      <c r="Z2" s="22" t="s">
        <v>80</v>
      </c>
    </row>
    <row r="3" spans="1:26" x14ac:dyDescent="0.25">
      <c r="A3" s="7" t="s">
        <v>12</v>
      </c>
      <c r="B3" s="7" t="s">
        <v>76</v>
      </c>
      <c r="C3" s="15">
        <v>1326.0507419999999</v>
      </c>
      <c r="D3" s="15">
        <v>36</v>
      </c>
      <c r="E3" s="15">
        <v>36.83474283333333</v>
      </c>
      <c r="F3" s="15">
        <v>327.38719430266661</v>
      </c>
      <c r="G3" s="16">
        <v>1936.7492580000003</v>
      </c>
      <c r="H3" s="7">
        <v>2.9</v>
      </c>
      <c r="I3" s="16">
        <v>667.84457172413806</v>
      </c>
      <c r="J3" s="16">
        <v>476.84102421103461</v>
      </c>
      <c r="K3" s="16">
        <v>804.22821851370122</v>
      </c>
      <c r="L3" s="16">
        <v>1.3208481529654819</v>
      </c>
      <c r="M3" s="16">
        <v>8.6206896551724146</v>
      </c>
      <c r="N3" s="16">
        <v>2.2219070431034482</v>
      </c>
      <c r="O3" s="7">
        <v>150</v>
      </c>
      <c r="P3" s="16">
        <v>0.33328605646551723</v>
      </c>
      <c r="Q3" s="23">
        <v>25.232730629727968</v>
      </c>
      <c r="R3" s="21">
        <v>1.7208528935216311E-2</v>
      </c>
      <c r="S3" s="15">
        <v>2</v>
      </c>
      <c r="T3" s="15">
        <v>73.66948566666666</v>
      </c>
      <c r="U3" s="15">
        <v>0.4</v>
      </c>
      <c r="V3" s="15">
        <v>267.13782868965524</v>
      </c>
      <c r="W3" s="15">
        <v>340.80731435632191</v>
      </c>
      <c r="X3" s="15">
        <v>-159.54064768965523</v>
      </c>
      <c r="Y3" s="21">
        <v>0.10445240724418349</v>
      </c>
      <c r="Z3" s="24">
        <v>258.02157014881965</v>
      </c>
    </row>
    <row r="4" spans="1:26" x14ac:dyDescent="0.25">
      <c r="A4" s="7" t="s">
        <v>12</v>
      </c>
      <c r="B4" s="7" t="s">
        <v>75</v>
      </c>
      <c r="C4" s="15">
        <v>871.73126999999999</v>
      </c>
      <c r="D4" s="15">
        <v>36</v>
      </c>
      <c r="E4" s="15">
        <v>24.214757500000001</v>
      </c>
      <c r="F4" s="15">
        <v>215.22076466000001</v>
      </c>
      <c r="G4" s="16">
        <v>2391.06873</v>
      </c>
      <c r="H4" s="7">
        <v>2.9</v>
      </c>
      <c r="I4" s="16">
        <v>824.50645862068961</v>
      </c>
      <c r="J4" s="16">
        <v>588.69761145517236</v>
      </c>
      <c r="K4" s="16">
        <v>803.91837611517235</v>
      </c>
      <c r="L4" s="16">
        <v>1.6306905514943537</v>
      </c>
      <c r="M4" s="16">
        <v>17.241379310344829</v>
      </c>
      <c r="N4" s="16">
        <v>4.4438140862068964</v>
      </c>
      <c r="O4" s="7">
        <v>150</v>
      </c>
      <c r="P4" s="16">
        <v>0.66657211293103447</v>
      </c>
      <c r="Q4" s="23">
        <v>40.876677204034344</v>
      </c>
      <c r="R4" s="21">
        <v>2.787758062191021E-2</v>
      </c>
      <c r="S4" s="15">
        <v>2</v>
      </c>
      <c r="T4" s="15">
        <v>48.429515000000002</v>
      </c>
      <c r="U4" s="15">
        <v>0.4</v>
      </c>
      <c r="V4" s="15">
        <v>329.80258344827587</v>
      </c>
      <c r="W4" s="15">
        <v>378.23209844827585</v>
      </c>
      <c r="X4" s="15">
        <v>-196.96543178160917</v>
      </c>
      <c r="Y4" s="21">
        <v>0.11592255070745244</v>
      </c>
      <c r="Z4" s="24">
        <v>231.94596798372723</v>
      </c>
    </row>
    <row r="5" spans="1:26" x14ac:dyDescent="0.25">
      <c r="A5" s="7" t="s">
        <v>12</v>
      </c>
      <c r="B5" s="7" t="s">
        <v>74</v>
      </c>
      <c r="C5" s="15">
        <v>711.79192</v>
      </c>
      <c r="D5" s="15">
        <v>36</v>
      </c>
      <c r="E5" s="15">
        <v>19.771997777777777</v>
      </c>
      <c r="F5" s="15">
        <v>175.73351624888889</v>
      </c>
      <c r="G5" s="16">
        <v>2551.0080800000001</v>
      </c>
      <c r="H5" s="7">
        <v>2.9</v>
      </c>
      <c r="I5" s="16">
        <v>879.65795862068967</v>
      </c>
      <c r="J5" s="16">
        <v>628.07578245517243</v>
      </c>
      <c r="K5" s="16">
        <v>803.80929870406135</v>
      </c>
      <c r="L5" s="16">
        <v>1.7397679626053559</v>
      </c>
      <c r="M5" s="16">
        <v>25.862068965517242</v>
      </c>
      <c r="N5" s="16">
        <v>6.6657211293103442</v>
      </c>
      <c r="O5" s="7">
        <v>150</v>
      </c>
      <c r="P5" s="16">
        <v>0.99985816939655159</v>
      </c>
      <c r="Q5" s="23">
        <v>57.470777189116255</v>
      </c>
      <c r="R5" s="21">
        <v>3.9194629653879876E-2</v>
      </c>
      <c r="S5" s="15">
        <v>2</v>
      </c>
      <c r="T5" s="15">
        <v>39.543995555555554</v>
      </c>
      <c r="U5" s="15">
        <v>0.4</v>
      </c>
      <c r="V5" s="15">
        <v>351.86318344827589</v>
      </c>
      <c r="W5" s="15">
        <v>391.40717900383146</v>
      </c>
      <c r="X5" s="15">
        <v>-210.14051233716478</v>
      </c>
      <c r="Y5" s="21">
        <v>0.11996051826769383</v>
      </c>
      <c r="Z5" s="24">
        <v>224.97665632242544</v>
      </c>
    </row>
    <row r="6" spans="1:26" x14ac:dyDescent="0.25">
      <c r="A6" s="7" t="s">
        <v>12</v>
      </c>
      <c r="B6" s="7" t="s">
        <v>77</v>
      </c>
      <c r="C6" s="15">
        <v>551.85256900000002</v>
      </c>
      <c r="D6" s="15">
        <v>36</v>
      </c>
      <c r="E6" s="15">
        <v>15.329238027777778</v>
      </c>
      <c r="F6" s="15">
        <v>136.24626759088889</v>
      </c>
      <c r="G6" s="16">
        <v>2710.9474310000001</v>
      </c>
      <c r="H6" s="7">
        <v>2.9</v>
      </c>
      <c r="I6" s="16">
        <v>934.80945896551725</v>
      </c>
      <c r="J6" s="16">
        <v>667.45395370137942</v>
      </c>
      <c r="K6" s="16">
        <v>803.70022129226834</v>
      </c>
      <c r="L6" s="16">
        <v>1.8488453743983655</v>
      </c>
      <c r="M6" s="16">
        <v>34.482758620689658</v>
      </c>
      <c r="N6" s="16">
        <v>8.8876281724137929</v>
      </c>
      <c r="O6" s="7">
        <v>150</v>
      </c>
      <c r="P6" s="16">
        <v>1.3331442258620689</v>
      </c>
      <c r="Q6" s="23">
        <v>72.106853516394722</v>
      </c>
      <c r="R6" s="21">
        <v>4.9176321555239662E-2</v>
      </c>
      <c r="S6" s="15">
        <v>2</v>
      </c>
      <c r="T6" s="15">
        <v>30.658476055555557</v>
      </c>
      <c r="U6" s="15">
        <v>0.4</v>
      </c>
      <c r="V6" s="15">
        <v>373.92378358620692</v>
      </c>
      <c r="W6" s="15">
        <v>404.5822596417625</v>
      </c>
      <c r="X6" s="15">
        <v>-223.31559297509583</v>
      </c>
      <c r="Y6" s="21">
        <v>0.12399848585318207</v>
      </c>
      <c r="Z6" s="24">
        <v>218.82968973185115</v>
      </c>
    </row>
    <row r="7" spans="1:26" x14ac:dyDescent="0.25">
      <c r="A7" s="7" t="s">
        <v>12</v>
      </c>
      <c r="B7" s="7" t="s">
        <v>78</v>
      </c>
      <c r="C7" s="15">
        <v>491.22463800000003</v>
      </c>
      <c r="D7" s="15">
        <v>36</v>
      </c>
      <c r="E7" s="15">
        <v>13.645128833333334</v>
      </c>
      <c r="F7" s="15">
        <v>121.27790507066668</v>
      </c>
      <c r="G7" s="16">
        <v>2771.575362</v>
      </c>
      <c r="H7" s="7">
        <v>2.9</v>
      </c>
      <c r="I7" s="16">
        <v>955.71564206896551</v>
      </c>
      <c r="J7" s="16">
        <v>682.38096843724145</v>
      </c>
      <c r="K7" s="16">
        <v>803.65887350790808</v>
      </c>
      <c r="L7" s="16">
        <v>1.8901931587586205</v>
      </c>
      <c r="M7" s="16">
        <v>43.103448275862071</v>
      </c>
      <c r="N7" s="16">
        <v>11.109535215517242</v>
      </c>
      <c r="O7" s="7">
        <v>150</v>
      </c>
      <c r="P7" s="16">
        <v>1.6664302823275863</v>
      </c>
      <c r="Q7" s="23">
        <v>88.161904226868003</v>
      </c>
      <c r="R7" s="21">
        <v>6.0125743112576645E-2</v>
      </c>
      <c r="S7" s="15">
        <v>2</v>
      </c>
      <c r="T7" s="15">
        <v>27.290257666666669</v>
      </c>
      <c r="U7" s="15">
        <v>0.4</v>
      </c>
      <c r="V7" s="15">
        <v>382.28625682758621</v>
      </c>
      <c r="W7" s="15">
        <v>409.57651449425288</v>
      </c>
      <c r="X7" s="15">
        <v>-228.3098478275862</v>
      </c>
      <c r="Y7" s="21">
        <v>0.12552915118740127</v>
      </c>
      <c r="Z7" s="24">
        <v>216.68500523155063</v>
      </c>
    </row>
    <row r="8" spans="1:26" x14ac:dyDescent="0.25">
      <c r="A8" s="7" t="s">
        <v>12</v>
      </c>
      <c r="B8" s="7" t="s">
        <v>79</v>
      </c>
      <c r="C8" s="15">
        <v>430.59670599999998</v>
      </c>
      <c r="D8" s="15">
        <v>36</v>
      </c>
      <c r="E8" s="15">
        <v>11.96101961111111</v>
      </c>
      <c r="F8" s="15">
        <v>106.30954230355555</v>
      </c>
      <c r="G8" s="16">
        <v>2832.2032940000004</v>
      </c>
      <c r="H8" s="7">
        <v>2.9</v>
      </c>
      <c r="I8" s="16">
        <v>976.62182551724152</v>
      </c>
      <c r="J8" s="16">
        <v>697.3079834193104</v>
      </c>
      <c r="K8" s="16">
        <v>803.61752572286593</v>
      </c>
      <c r="L8" s="16">
        <v>1.9315409438007691</v>
      </c>
      <c r="M8" s="16">
        <v>51.724137931034484</v>
      </c>
      <c r="N8" s="16">
        <v>13.331442258620688</v>
      </c>
      <c r="O8" s="7">
        <v>150</v>
      </c>
      <c r="P8" s="16">
        <v>1.9997163387931032</v>
      </c>
      <c r="Q8" s="23">
        <v>103.52958580614825</v>
      </c>
      <c r="R8" s="21">
        <v>7.0606384189633775E-2</v>
      </c>
      <c r="S8" s="15">
        <v>2</v>
      </c>
      <c r="T8" s="15">
        <v>23.922039222222221</v>
      </c>
      <c r="U8" s="15">
        <v>0.4</v>
      </c>
      <c r="V8" s="15">
        <v>390.64873020689663</v>
      </c>
      <c r="W8" s="15">
        <v>414.57076942911885</v>
      </c>
      <c r="X8" s="15">
        <v>-233.30410276245217</v>
      </c>
      <c r="Y8" s="21">
        <v>0.12705981654686735</v>
      </c>
      <c r="Z8" s="24">
        <v>214.63214163783223</v>
      </c>
    </row>
    <row r="9" spans="1:26" x14ac:dyDescent="0.25">
      <c r="A9" s="7" t="s">
        <v>12</v>
      </c>
      <c r="B9" s="7" t="s">
        <v>13</v>
      </c>
      <c r="C9" s="15">
        <v>0</v>
      </c>
      <c r="D9" s="15">
        <v>36</v>
      </c>
      <c r="E9" s="15">
        <v>0</v>
      </c>
      <c r="F9" s="15">
        <v>0</v>
      </c>
      <c r="G9" s="16">
        <v>3262.8</v>
      </c>
      <c r="H9" s="7">
        <v>2.9</v>
      </c>
      <c r="I9" s="16">
        <v>1125.1034482758621</v>
      </c>
      <c r="J9" s="16">
        <v>803.32386206896558</v>
      </c>
      <c r="K9" s="16">
        <v>803.32386206896558</v>
      </c>
      <c r="L9" s="16">
        <v>2.2252045977011221</v>
      </c>
      <c r="M9" s="16">
        <v>103.44827586206897</v>
      </c>
      <c r="N9" s="16">
        <v>26.662884517241377</v>
      </c>
      <c r="O9" s="7">
        <v>150</v>
      </c>
      <c r="P9" s="16">
        <v>3.9994326775862064</v>
      </c>
      <c r="Q9" s="23">
        <v>179.7332560663435</v>
      </c>
      <c r="R9" s="21">
        <v>0.12257670337091474</v>
      </c>
      <c r="S9" s="15">
        <v>2</v>
      </c>
      <c r="T9" s="15">
        <v>0</v>
      </c>
      <c r="U9" s="15">
        <v>0.4</v>
      </c>
      <c r="V9" s="15">
        <v>450.04137931034484</v>
      </c>
      <c r="W9" s="15">
        <v>450.04137931034484</v>
      </c>
      <c r="X9" s="15">
        <v>-268.77471264367819</v>
      </c>
      <c r="Y9" s="21">
        <v>0.13793103448275862</v>
      </c>
      <c r="Z9" s="24">
        <v>202.24719101123844</v>
      </c>
    </row>
    <row r="10" spans="1:26" x14ac:dyDescent="0.25">
      <c r="A10" s="7" t="s">
        <v>15</v>
      </c>
      <c r="B10" s="7" t="s">
        <v>73</v>
      </c>
      <c r="C10" s="15">
        <v>3262.8</v>
      </c>
      <c r="D10" s="15">
        <v>26.4</v>
      </c>
      <c r="E10" s="15">
        <v>123.59090909090911</v>
      </c>
      <c r="F10" s="15">
        <v>1098.4760000000001</v>
      </c>
      <c r="G10" s="16">
        <v>0</v>
      </c>
      <c r="H10" s="7">
        <v>3.6</v>
      </c>
      <c r="I10" s="16">
        <v>0</v>
      </c>
      <c r="J10" s="16">
        <v>0</v>
      </c>
      <c r="K10" s="16">
        <v>1098.4760000000001</v>
      </c>
      <c r="L10" s="16">
        <v>0</v>
      </c>
      <c r="M10" s="16">
        <v>0</v>
      </c>
      <c r="N10" s="16">
        <v>0</v>
      </c>
      <c r="O10" s="7">
        <v>115</v>
      </c>
      <c r="P10" s="16">
        <v>0</v>
      </c>
      <c r="Q10" s="20" t="s">
        <v>80</v>
      </c>
      <c r="R10" s="20" t="s">
        <v>80</v>
      </c>
      <c r="S10" s="15">
        <v>3</v>
      </c>
      <c r="T10" s="15">
        <v>370.77272727272731</v>
      </c>
      <c r="U10" s="15">
        <v>0.25</v>
      </c>
      <c r="V10" s="15">
        <v>0</v>
      </c>
      <c r="W10" s="15">
        <v>370.77272727272731</v>
      </c>
      <c r="X10" s="15">
        <v>0</v>
      </c>
      <c r="Y10" s="21">
        <v>0.11363636363636365</v>
      </c>
      <c r="Z10" s="22" t="s">
        <v>80</v>
      </c>
    </row>
    <row r="11" spans="1:26" x14ac:dyDescent="0.25">
      <c r="A11" s="7" t="s">
        <v>15</v>
      </c>
      <c r="B11" s="7" t="s">
        <v>76</v>
      </c>
      <c r="C11" s="15">
        <v>1326.0507419999999</v>
      </c>
      <c r="D11" s="15">
        <v>26.4</v>
      </c>
      <c r="E11" s="15">
        <v>50.229194772727269</v>
      </c>
      <c r="F11" s="15">
        <v>446.43708313999997</v>
      </c>
      <c r="G11" s="16">
        <v>1936.7492580000003</v>
      </c>
      <c r="H11" s="7">
        <v>3.6</v>
      </c>
      <c r="I11" s="16">
        <v>537.98590500000012</v>
      </c>
      <c r="J11" s="16">
        <v>187.21909494000002</v>
      </c>
      <c r="K11" s="16">
        <v>633.65617808000002</v>
      </c>
      <c r="L11" s="16">
        <v>464.81982192000009</v>
      </c>
      <c r="M11" s="16">
        <v>6.9444444444444446</v>
      </c>
      <c r="N11" s="16">
        <v>1.7898695625000001</v>
      </c>
      <c r="O11" s="7">
        <v>115</v>
      </c>
      <c r="P11" s="16">
        <v>0.20583499968750002</v>
      </c>
      <c r="Q11" s="23">
        <v>4.4282749999187028E-2</v>
      </c>
      <c r="R11" s="21">
        <v>1.062785999980489E-2</v>
      </c>
      <c r="S11" s="15">
        <v>3</v>
      </c>
      <c r="T11" s="15">
        <v>150.68758431818179</v>
      </c>
      <c r="U11" s="15">
        <v>0.25</v>
      </c>
      <c r="V11" s="15">
        <v>134.49647625000003</v>
      </c>
      <c r="W11" s="15">
        <v>285.18406056818185</v>
      </c>
      <c r="X11" s="15">
        <v>85.58866670454546</v>
      </c>
      <c r="Y11" s="21">
        <v>8.7404701657527839E-2</v>
      </c>
      <c r="Z11" s="24">
        <v>0.61353678806164325</v>
      </c>
    </row>
    <row r="12" spans="1:26" x14ac:dyDescent="0.25">
      <c r="A12" s="7" t="s">
        <v>15</v>
      </c>
      <c r="B12" s="7" t="s">
        <v>75</v>
      </c>
      <c r="C12" s="15">
        <v>871.73126999999999</v>
      </c>
      <c r="D12" s="15">
        <v>26.4</v>
      </c>
      <c r="E12" s="15">
        <v>33.020123863636364</v>
      </c>
      <c r="F12" s="15">
        <v>293.48286089999999</v>
      </c>
      <c r="G12" s="16">
        <v>2391.06873</v>
      </c>
      <c r="H12" s="7">
        <v>3.6</v>
      </c>
      <c r="I12" s="16">
        <v>664.1857583333333</v>
      </c>
      <c r="J12" s="16">
        <v>231.1366439</v>
      </c>
      <c r="K12" s="16">
        <v>524.61950479999996</v>
      </c>
      <c r="L12" s="16">
        <v>573.85649520000015</v>
      </c>
      <c r="M12" s="16">
        <v>13.888888888888889</v>
      </c>
      <c r="N12" s="16">
        <v>3.5797391250000001</v>
      </c>
      <c r="O12" s="7">
        <v>115</v>
      </c>
      <c r="P12" s="16">
        <v>0.41166999937500004</v>
      </c>
      <c r="Q12" s="23">
        <v>7.1737447047893921E-2</v>
      </c>
      <c r="R12" s="21">
        <v>1.7216987291494547E-2</v>
      </c>
      <c r="S12" s="15">
        <v>3</v>
      </c>
      <c r="T12" s="15">
        <v>99.060371590909085</v>
      </c>
      <c r="U12" s="15">
        <v>0.25</v>
      </c>
      <c r="V12" s="15">
        <v>166.04643958333332</v>
      </c>
      <c r="W12" s="15">
        <v>265.10681117424241</v>
      </c>
      <c r="X12" s="15">
        <v>105.6659160984849</v>
      </c>
      <c r="Y12" s="21">
        <v>8.1251321311218094E-2</v>
      </c>
      <c r="Z12" s="24">
        <v>0.46197405342924197</v>
      </c>
    </row>
    <row r="13" spans="1:26" x14ac:dyDescent="0.25">
      <c r="A13" s="7" t="s">
        <v>15</v>
      </c>
      <c r="B13" s="7" t="s">
        <v>74</v>
      </c>
      <c r="C13" s="15">
        <v>711.79192</v>
      </c>
      <c r="D13" s="15">
        <v>26.4</v>
      </c>
      <c r="E13" s="15">
        <v>26.961815151515154</v>
      </c>
      <c r="F13" s="15">
        <v>239.63661306666668</v>
      </c>
      <c r="G13" s="16">
        <v>2551.0080800000001</v>
      </c>
      <c r="H13" s="7">
        <v>3.6</v>
      </c>
      <c r="I13" s="16">
        <v>708.61335555555559</v>
      </c>
      <c r="J13" s="16">
        <v>246.59744773333335</v>
      </c>
      <c r="K13" s="16">
        <v>486.23406080000007</v>
      </c>
      <c r="L13" s="16">
        <v>612.24193920000005</v>
      </c>
      <c r="M13" s="16">
        <v>20.833333333333332</v>
      </c>
      <c r="N13" s="16">
        <v>5.3696086875000004</v>
      </c>
      <c r="O13" s="7">
        <v>115</v>
      </c>
      <c r="P13" s="16">
        <v>0.6175049990625</v>
      </c>
      <c r="Q13" s="23">
        <v>0.10085963726519241</v>
      </c>
      <c r="R13" s="21">
        <v>2.4206312943646183E-2</v>
      </c>
      <c r="S13" s="15">
        <v>3</v>
      </c>
      <c r="T13" s="15">
        <v>80.885445454545462</v>
      </c>
      <c r="U13" s="15">
        <v>0.25</v>
      </c>
      <c r="V13" s="15">
        <v>177.1533388888889</v>
      </c>
      <c r="W13" s="15">
        <v>258.03878434343437</v>
      </c>
      <c r="X13" s="15">
        <v>112.73394292929294</v>
      </c>
      <c r="Y13" s="21">
        <v>7.9085075500623506E-2</v>
      </c>
      <c r="Z13" s="24">
        <v>0.4214653845514188</v>
      </c>
    </row>
    <row r="14" spans="1:26" x14ac:dyDescent="0.25">
      <c r="A14" s="7" t="s">
        <v>15</v>
      </c>
      <c r="B14" s="7" t="s">
        <v>77</v>
      </c>
      <c r="C14" s="15">
        <v>551.85256900000002</v>
      </c>
      <c r="D14" s="15">
        <v>26.4</v>
      </c>
      <c r="E14" s="15">
        <v>20.903506401515152</v>
      </c>
      <c r="F14" s="15">
        <v>185.79036489666666</v>
      </c>
      <c r="G14" s="16">
        <v>2710.9474310000001</v>
      </c>
      <c r="H14" s="7">
        <v>3.6</v>
      </c>
      <c r="I14" s="16">
        <v>753.04095305555552</v>
      </c>
      <c r="J14" s="16">
        <v>262.05825166333335</v>
      </c>
      <c r="K14" s="16">
        <v>447.84861655999998</v>
      </c>
      <c r="L14" s="16">
        <v>650.62738344000013</v>
      </c>
      <c r="M14" s="16">
        <v>27.777777777777779</v>
      </c>
      <c r="N14" s="16">
        <v>7.1594782500000003</v>
      </c>
      <c r="O14" s="7">
        <v>115</v>
      </c>
      <c r="P14" s="16">
        <v>0.82333999875000008</v>
      </c>
      <c r="Q14" s="23">
        <v>0.12654554968111442</v>
      </c>
      <c r="R14" s="21">
        <v>3.0370931923467463E-2</v>
      </c>
      <c r="S14" s="15">
        <v>3</v>
      </c>
      <c r="T14" s="15">
        <v>62.710519204545456</v>
      </c>
      <c r="U14" s="15">
        <v>0.25</v>
      </c>
      <c r="V14" s="15">
        <v>188.26023826388888</v>
      </c>
      <c r="W14" s="15">
        <v>250.97075746843433</v>
      </c>
      <c r="X14" s="15">
        <v>119.80196980429298</v>
      </c>
      <c r="Y14" s="21">
        <v>7.691882967648471E-2</v>
      </c>
      <c r="Z14" s="24">
        <v>0.38573654269130292</v>
      </c>
    </row>
    <row r="15" spans="1:26" x14ac:dyDescent="0.25">
      <c r="A15" s="7" t="s">
        <v>15</v>
      </c>
      <c r="B15" s="7" t="s">
        <v>78</v>
      </c>
      <c r="C15" s="15">
        <v>491.22463800000003</v>
      </c>
      <c r="D15" s="15">
        <v>26.4</v>
      </c>
      <c r="E15" s="15">
        <v>18.606993863636365</v>
      </c>
      <c r="F15" s="15">
        <v>165.37896146</v>
      </c>
      <c r="G15" s="16">
        <v>2771.575362</v>
      </c>
      <c r="H15" s="7">
        <v>3.6</v>
      </c>
      <c r="I15" s="16">
        <v>769.88204499999995</v>
      </c>
      <c r="J15" s="16">
        <v>267.91895165999995</v>
      </c>
      <c r="K15" s="16">
        <v>433.29791311999998</v>
      </c>
      <c r="L15" s="16">
        <v>665.17808688000014</v>
      </c>
      <c r="M15" s="16">
        <v>34.722222222222221</v>
      </c>
      <c r="N15" s="16">
        <v>8.949347812500001</v>
      </c>
      <c r="O15" s="7">
        <v>115</v>
      </c>
      <c r="P15" s="16">
        <v>1.0291749984375</v>
      </c>
      <c r="Q15" s="23">
        <v>0.15472172321021843</v>
      </c>
      <c r="R15" s="21">
        <v>3.7133213570452434E-2</v>
      </c>
      <c r="S15" s="15">
        <v>3</v>
      </c>
      <c r="T15" s="15">
        <v>55.820981590909099</v>
      </c>
      <c r="U15" s="15">
        <v>0.25</v>
      </c>
      <c r="V15" s="15">
        <v>192.47051124999999</v>
      </c>
      <c r="W15" s="15">
        <v>248.29149284090909</v>
      </c>
      <c r="X15" s="15">
        <v>122.48123443181822</v>
      </c>
      <c r="Y15" s="21">
        <v>7.6097674647820607E-2</v>
      </c>
      <c r="Z15" s="24">
        <v>0.37327070409897839</v>
      </c>
    </row>
    <row r="16" spans="1:26" x14ac:dyDescent="0.25">
      <c r="A16" s="7" t="s">
        <v>15</v>
      </c>
      <c r="B16" s="7" t="s">
        <v>79</v>
      </c>
      <c r="C16" s="15">
        <v>430.59670599999998</v>
      </c>
      <c r="D16" s="15">
        <v>26.4</v>
      </c>
      <c r="E16" s="15">
        <v>16.310481287878787</v>
      </c>
      <c r="F16" s="15">
        <v>144.96755768666665</v>
      </c>
      <c r="G16" s="16">
        <v>2832.2032940000004</v>
      </c>
      <c r="H16" s="7">
        <v>3.6</v>
      </c>
      <c r="I16" s="16">
        <v>786.72313722222225</v>
      </c>
      <c r="J16" s="16">
        <v>273.77965175333333</v>
      </c>
      <c r="K16" s="16">
        <v>418.74720944000001</v>
      </c>
      <c r="L16" s="16">
        <v>679.72879056000011</v>
      </c>
      <c r="M16" s="16">
        <v>41.666666666666664</v>
      </c>
      <c r="N16" s="16">
        <v>10.739217375000001</v>
      </c>
      <c r="O16" s="7">
        <v>115</v>
      </c>
      <c r="P16" s="16">
        <v>1.235009998125</v>
      </c>
      <c r="Q16" s="23">
        <v>0.18169158277193567</v>
      </c>
      <c r="R16" s="21">
        <v>4.3605979865264564E-2</v>
      </c>
      <c r="S16" s="15">
        <v>3</v>
      </c>
      <c r="T16" s="15">
        <v>48.93144386363636</v>
      </c>
      <c r="U16" s="15">
        <v>0.25</v>
      </c>
      <c r="V16" s="15">
        <v>196.68078430555556</v>
      </c>
      <c r="W16" s="15">
        <v>245.61222816919192</v>
      </c>
      <c r="X16" s="15">
        <v>125.16049910353539</v>
      </c>
      <c r="Y16" s="21">
        <v>7.5276519605612324E-2</v>
      </c>
      <c r="Z16" s="24">
        <v>0.36133856852943108</v>
      </c>
    </row>
    <row r="17" spans="1:26" x14ac:dyDescent="0.25">
      <c r="A17" s="7" t="s">
        <v>15</v>
      </c>
      <c r="B17" s="7" t="s">
        <v>13</v>
      </c>
      <c r="C17" s="15">
        <v>0</v>
      </c>
      <c r="D17" s="15">
        <v>26.4</v>
      </c>
      <c r="E17" s="15">
        <v>0</v>
      </c>
      <c r="F17" s="15">
        <v>0</v>
      </c>
      <c r="G17" s="16">
        <v>3262.8</v>
      </c>
      <c r="H17" s="7">
        <v>3.6</v>
      </c>
      <c r="I17" s="16">
        <v>906.33333333333337</v>
      </c>
      <c r="J17" s="16">
        <v>315.404</v>
      </c>
      <c r="K17" s="16">
        <v>315.404</v>
      </c>
      <c r="L17" s="16">
        <v>783.07200000000012</v>
      </c>
      <c r="M17" s="16">
        <v>83.333333333333329</v>
      </c>
      <c r="N17" s="16">
        <v>21.478434750000002</v>
      </c>
      <c r="O17" s="7">
        <v>115</v>
      </c>
      <c r="P17" s="16">
        <v>2.47001999625</v>
      </c>
      <c r="Q17" s="23">
        <v>0.31542693344290174</v>
      </c>
      <c r="R17" s="21">
        <v>7.5702464026296434E-2</v>
      </c>
      <c r="S17" s="15">
        <v>3</v>
      </c>
      <c r="T17" s="15">
        <v>0</v>
      </c>
      <c r="U17" s="15">
        <v>0.15</v>
      </c>
      <c r="V17" s="15">
        <v>135.94999999999999</v>
      </c>
      <c r="W17" s="15">
        <v>135.94999999999999</v>
      </c>
      <c r="X17" s="15">
        <v>234.82272727272732</v>
      </c>
      <c r="Y17" s="21">
        <v>4.1666666666666657E-2</v>
      </c>
      <c r="Z17" s="24">
        <v>0.17361111111111108</v>
      </c>
    </row>
    <row r="18" spans="1:26" x14ac:dyDescent="0.25">
      <c r="A18" s="7" t="s">
        <v>16</v>
      </c>
      <c r="B18" s="7" t="s">
        <v>73</v>
      </c>
      <c r="C18" s="15">
        <v>3262.8</v>
      </c>
      <c r="D18" s="15">
        <v>18</v>
      </c>
      <c r="E18" s="15">
        <v>181.26666666666668</v>
      </c>
      <c r="F18" s="15">
        <v>1611.0981333333334</v>
      </c>
      <c r="G18" s="16">
        <v>0</v>
      </c>
      <c r="H18" s="7">
        <v>4.2</v>
      </c>
      <c r="I18" s="16">
        <v>0</v>
      </c>
      <c r="J18" s="16">
        <v>0</v>
      </c>
      <c r="K18" s="16">
        <v>1611.0981333333334</v>
      </c>
      <c r="L18" s="16">
        <v>0</v>
      </c>
      <c r="M18" s="16">
        <v>0</v>
      </c>
      <c r="N18" s="16">
        <v>0</v>
      </c>
      <c r="O18" s="7">
        <v>75</v>
      </c>
      <c r="P18" s="16">
        <v>0</v>
      </c>
      <c r="Q18" s="20" t="s">
        <v>80</v>
      </c>
      <c r="R18" s="20" t="s">
        <v>80</v>
      </c>
      <c r="S18" s="15">
        <v>5</v>
      </c>
      <c r="T18" s="15">
        <v>906.33333333333337</v>
      </c>
      <c r="U18" s="15">
        <v>0.15</v>
      </c>
      <c r="V18" s="15">
        <v>0</v>
      </c>
      <c r="W18" s="15">
        <v>906.33333333333337</v>
      </c>
      <c r="X18" s="15">
        <v>0</v>
      </c>
      <c r="Y18" s="21">
        <v>0.27777777777777779</v>
      </c>
      <c r="Z18" s="22" t="s">
        <v>80</v>
      </c>
    </row>
    <row r="19" spans="1:26" x14ac:dyDescent="0.25">
      <c r="A19" s="7" t="s">
        <v>16</v>
      </c>
      <c r="B19" s="7" t="s">
        <v>76</v>
      </c>
      <c r="C19" s="15">
        <v>1326.0507419999999</v>
      </c>
      <c r="D19" s="15">
        <v>18</v>
      </c>
      <c r="E19" s="15">
        <v>73.66948566666666</v>
      </c>
      <c r="F19" s="15">
        <v>654.77438860533323</v>
      </c>
      <c r="G19" s="16">
        <v>1936.7492580000003</v>
      </c>
      <c r="H19" s="7">
        <v>4.2</v>
      </c>
      <c r="I19" s="16">
        <v>461.13077571428579</v>
      </c>
      <c r="J19" s="16">
        <v>57.641346964285724</v>
      </c>
      <c r="K19" s="16">
        <v>712.41573556961896</v>
      </c>
      <c r="L19" s="16">
        <v>898.68239776371445</v>
      </c>
      <c r="M19" s="16">
        <v>5.9523809523809526</v>
      </c>
      <c r="N19" s="16">
        <v>1.5341739107142858</v>
      </c>
      <c r="O19" s="7">
        <v>75</v>
      </c>
      <c r="P19" s="16">
        <v>0.11506304330357144</v>
      </c>
      <c r="Q19" s="23">
        <v>1.2803526984604892E-2</v>
      </c>
      <c r="R19" s="21">
        <v>5.9410397514437271E-3</v>
      </c>
      <c r="S19" s="15">
        <v>5</v>
      </c>
      <c r="T19" s="15">
        <v>368.34742833333331</v>
      </c>
      <c r="U19" s="15">
        <v>0.15</v>
      </c>
      <c r="V19" s="15">
        <v>69.169616357142871</v>
      </c>
      <c r="W19" s="15">
        <v>437.51704469047615</v>
      </c>
      <c r="X19" s="15">
        <v>468.81628864285722</v>
      </c>
      <c r="Y19" s="21">
        <v>0.13409251093860369</v>
      </c>
      <c r="Z19" s="24">
        <v>0.48684278870844211</v>
      </c>
    </row>
    <row r="20" spans="1:26" x14ac:dyDescent="0.25">
      <c r="A20" s="7" t="s">
        <v>16</v>
      </c>
      <c r="B20" s="7" t="s">
        <v>75</v>
      </c>
      <c r="C20" s="15">
        <v>871.73126999999999</v>
      </c>
      <c r="D20" s="15">
        <v>18</v>
      </c>
      <c r="E20" s="15">
        <v>48.429515000000002</v>
      </c>
      <c r="F20" s="15">
        <v>430.44152932000003</v>
      </c>
      <c r="G20" s="16">
        <v>2391.06873</v>
      </c>
      <c r="H20" s="7">
        <v>4.2</v>
      </c>
      <c r="I20" s="16">
        <v>569.30207857142852</v>
      </c>
      <c r="J20" s="16">
        <v>71.162759821428565</v>
      </c>
      <c r="K20" s="16">
        <v>501.60428914142858</v>
      </c>
      <c r="L20" s="16">
        <v>1109.4938441919048</v>
      </c>
      <c r="M20" s="16">
        <v>11.904761904761905</v>
      </c>
      <c r="N20" s="16">
        <v>3.0683478214285715</v>
      </c>
      <c r="O20" s="7">
        <v>75</v>
      </c>
      <c r="P20" s="16">
        <v>0.23012608660714287</v>
      </c>
      <c r="Q20" s="23">
        <v>2.0741537937486641E-2</v>
      </c>
      <c r="R20" s="21">
        <v>9.6244028337547152E-3</v>
      </c>
      <c r="S20" s="15">
        <v>5</v>
      </c>
      <c r="T20" s="15">
        <v>242.14757500000002</v>
      </c>
      <c r="U20" s="15">
        <v>0.15</v>
      </c>
      <c r="V20" s="15">
        <v>85.39531178571427</v>
      </c>
      <c r="W20" s="15">
        <v>327.5428867857143</v>
      </c>
      <c r="X20" s="15">
        <v>578.79044654761901</v>
      </c>
      <c r="Y20" s="21">
        <v>0.10038705614371531</v>
      </c>
      <c r="Z20" s="24">
        <v>0.29521830021894241</v>
      </c>
    </row>
    <row r="21" spans="1:26" x14ac:dyDescent="0.25">
      <c r="A21" s="7" t="s">
        <v>16</v>
      </c>
      <c r="B21" s="7" t="s">
        <v>74</v>
      </c>
      <c r="C21" s="15">
        <v>711.79192</v>
      </c>
      <c r="D21" s="15">
        <v>18</v>
      </c>
      <c r="E21" s="15">
        <v>39.543995555555554</v>
      </c>
      <c r="F21" s="15">
        <v>351.46703249777778</v>
      </c>
      <c r="G21" s="16">
        <v>2551.0080800000001</v>
      </c>
      <c r="H21" s="7">
        <v>4.2</v>
      </c>
      <c r="I21" s="16">
        <v>607.38287619047617</v>
      </c>
      <c r="J21" s="16">
        <v>75.922859523809521</v>
      </c>
      <c r="K21" s="16">
        <v>427.38989202158729</v>
      </c>
      <c r="L21" s="16">
        <v>1183.7082413117462</v>
      </c>
      <c r="M21" s="16">
        <v>17.857142857142858</v>
      </c>
      <c r="N21" s="16">
        <v>4.6025217321428569</v>
      </c>
      <c r="O21" s="7">
        <v>75</v>
      </c>
      <c r="P21" s="16">
        <v>0.34518912991071427</v>
      </c>
      <c r="Q21" s="23">
        <v>2.9161673279235356E-2</v>
      </c>
      <c r="R21" s="21">
        <v>1.3531479285268051E-2</v>
      </c>
      <c r="S21" s="15">
        <v>5</v>
      </c>
      <c r="T21" s="15">
        <v>197.71997777777779</v>
      </c>
      <c r="U21" s="15">
        <v>0.15</v>
      </c>
      <c r="V21" s="15">
        <v>91.107431428571417</v>
      </c>
      <c r="W21" s="15">
        <v>288.82740920634922</v>
      </c>
      <c r="X21" s="15">
        <v>617.50592412698416</v>
      </c>
      <c r="Y21" s="21">
        <v>8.8521334193437912E-2</v>
      </c>
      <c r="Z21" s="24">
        <v>0.24400219507323889</v>
      </c>
    </row>
    <row r="22" spans="1:26" x14ac:dyDescent="0.25">
      <c r="A22" s="7" t="s">
        <v>16</v>
      </c>
      <c r="B22" s="7" t="s">
        <v>77</v>
      </c>
      <c r="C22" s="15">
        <v>551.85256900000002</v>
      </c>
      <c r="D22" s="15">
        <v>18</v>
      </c>
      <c r="E22" s="15">
        <v>30.658476055555557</v>
      </c>
      <c r="F22" s="15">
        <v>272.49253518177778</v>
      </c>
      <c r="G22" s="16">
        <v>2710.9474310000001</v>
      </c>
      <c r="H22" s="7">
        <v>4.2</v>
      </c>
      <c r="I22" s="16">
        <v>645.46367404761907</v>
      </c>
      <c r="J22" s="16">
        <v>80.682959255952383</v>
      </c>
      <c r="K22" s="16">
        <v>353.17549443773015</v>
      </c>
      <c r="L22" s="16">
        <v>1257.9226388956033</v>
      </c>
      <c r="M22" s="16">
        <v>23.80952380952381</v>
      </c>
      <c r="N22" s="16">
        <v>6.1366956428571431</v>
      </c>
      <c r="O22" s="7">
        <v>75</v>
      </c>
      <c r="P22" s="16">
        <v>0.46025217321428574</v>
      </c>
      <c r="Q22" s="23">
        <v>3.6588273315310185E-2</v>
      </c>
      <c r="R22" s="21">
        <v>1.6977539584547025E-2</v>
      </c>
      <c r="S22" s="15">
        <v>5</v>
      </c>
      <c r="T22" s="15">
        <v>153.2923802777778</v>
      </c>
      <c r="U22" s="15">
        <v>0.15</v>
      </c>
      <c r="V22" s="15">
        <v>96.819551107142857</v>
      </c>
      <c r="W22" s="15">
        <v>250.11193138492064</v>
      </c>
      <c r="X22" s="15">
        <v>656.22140194841268</v>
      </c>
      <c r="Y22" s="21">
        <v>7.6655612168971626E-2</v>
      </c>
      <c r="Z22" s="24">
        <v>0.19882934264106028</v>
      </c>
    </row>
    <row r="23" spans="1:26" x14ac:dyDescent="0.25">
      <c r="A23" s="7" t="s">
        <v>16</v>
      </c>
      <c r="B23" s="7" t="s">
        <v>78</v>
      </c>
      <c r="C23" s="15">
        <v>491.22463800000003</v>
      </c>
      <c r="D23" s="15">
        <v>18</v>
      </c>
      <c r="E23" s="15">
        <v>27.290257666666669</v>
      </c>
      <c r="F23" s="15">
        <v>242.55581014133335</v>
      </c>
      <c r="G23" s="16">
        <v>2771.575362</v>
      </c>
      <c r="H23" s="7">
        <v>4.2</v>
      </c>
      <c r="I23" s="16">
        <v>659.89889571428569</v>
      </c>
      <c r="J23" s="16">
        <v>82.487361964285697</v>
      </c>
      <c r="K23" s="16">
        <v>325.04317210561908</v>
      </c>
      <c r="L23" s="16">
        <v>1286.0549612277143</v>
      </c>
      <c r="M23" s="16">
        <v>29.761904761904759</v>
      </c>
      <c r="N23" s="16">
        <v>7.6708695535714284</v>
      </c>
      <c r="O23" s="7">
        <v>75</v>
      </c>
      <c r="P23" s="16">
        <v>0.57531521651785711</v>
      </c>
      <c r="Q23" s="23">
        <v>4.4734885666833431E-2</v>
      </c>
      <c r="R23" s="21">
        <v>2.0757697026960981E-2</v>
      </c>
      <c r="S23" s="15">
        <v>5</v>
      </c>
      <c r="T23" s="15">
        <v>136.45128833333334</v>
      </c>
      <c r="U23" s="15">
        <v>0.15</v>
      </c>
      <c r="V23" s="15">
        <v>98.984834357142844</v>
      </c>
      <c r="W23" s="15">
        <v>235.43612269047617</v>
      </c>
      <c r="X23" s="15">
        <v>670.8972106428572</v>
      </c>
      <c r="Y23" s="21">
        <v>7.2157693603799242E-2</v>
      </c>
      <c r="Z23" s="24">
        <v>0.18306847668914583</v>
      </c>
    </row>
    <row r="24" spans="1:26" x14ac:dyDescent="0.25">
      <c r="A24" s="7" t="s">
        <v>16</v>
      </c>
      <c r="B24" s="7" t="s">
        <v>79</v>
      </c>
      <c r="C24" s="15">
        <v>430.59670599999998</v>
      </c>
      <c r="D24" s="15">
        <v>18</v>
      </c>
      <c r="E24" s="15">
        <v>23.922039222222221</v>
      </c>
      <c r="F24" s="15">
        <v>212.61908460711109</v>
      </c>
      <c r="G24" s="16">
        <v>2832.2032940000004</v>
      </c>
      <c r="H24" s="7">
        <v>4.2</v>
      </c>
      <c r="I24" s="16">
        <v>674.33411761904767</v>
      </c>
      <c r="J24" s="16">
        <v>84.291764702380959</v>
      </c>
      <c r="K24" s="16">
        <v>296.91084930949205</v>
      </c>
      <c r="L24" s="16">
        <v>1314.1872840238414</v>
      </c>
      <c r="M24" s="16">
        <v>35.714285714285715</v>
      </c>
      <c r="N24" s="16">
        <v>9.2050434642857137</v>
      </c>
      <c r="O24" s="7">
        <v>75</v>
      </c>
      <c r="P24" s="16">
        <v>0.69037825982142853</v>
      </c>
      <c r="Q24" s="23">
        <v>5.2532714949698453E-2</v>
      </c>
      <c r="R24" s="21">
        <v>2.4376013589278329E-2</v>
      </c>
      <c r="S24" s="15">
        <v>5</v>
      </c>
      <c r="T24" s="15">
        <v>119.61019611111111</v>
      </c>
      <c r="U24" s="15">
        <v>0.15</v>
      </c>
      <c r="V24" s="15">
        <v>101.15011764285715</v>
      </c>
      <c r="W24" s="15">
        <v>220.76031375396826</v>
      </c>
      <c r="X24" s="15">
        <v>685.57301957936511</v>
      </c>
      <c r="Y24" s="21">
        <v>6.765977496443798E-2</v>
      </c>
      <c r="Z24" s="24">
        <v>0.16798238457918555</v>
      </c>
    </row>
    <row r="25" spans="1:26" x14ac:dyDescent="0.25">
      <c r="A25" s="7" t="s">
        <v>16</v>
      </c>
      <c r="B25" s="7" t="s">
        <v>13</v>
      </c>
      <c r="C25" s="15">
        <v>0</v>
      </c>
      <c r="D25" s="15">
        <v>18</v>
      </c>
      <c r="E25" s="15">
        <v>0</v>
      </c>
      <c r="F25" s="15">
        <v>0</v>
      </c>
      <c r="G25" s="16">
        <v>3262.8</v>
      </c>
      <c r="H25" s="7">
        <v>4.2</v>
      </c>
      <c r="I25" s="16">
        <v>776.85714285714289</v>
      </c>
      <c r="J25" s="16">
        <v>97.107142857142847</v>
      </c>
      <c r="K25" s="16">
        <v>97.107142857142847</v>
      </c>
      <c r="L25" s="16">
        <v>1513.9909904761905</v>
      </c>
      <c r="M25" s="16">
        <v>71.428571428571431</v>
      </c>
      <c r="N25" s="16">
        <v>18.410086928571427</v>
      </c>
      <c r="O25" s="7">
        <v>75</v>
      </c>
      <c r="P25" s="16">
        <v>1.3807565196428571</v>
      </c>
      <c r="Q25" s="23">
        <v>9.1199784432572623E-2</v>
      </c>
      <c r="R25" s="21">
        <v>4.2318147592339622E-2</v>
      </c>
      <c r="S25" s="15">
        <v>5</v>
      </c>
      <c r="T25" s="15">
        <v>0</v>
      </c>
      <c r="U25" s="15">
        <v>0.15</v>
      </c>
      <c r="V25" s="15">
        <v>116.52857142857142</v>
      </c>
      <c r="W25" s="15">
        <v>116.52857142857142</v>
      </c>
      <c r="X25" s="15">
        <v>789.8047619047619</v>
      </c>
      <c r="Y25" s="21">
        <v>3.5714285714285712E-2</v>
      </c>
      <c r="Z25" s="24">
        <v>7.6967810351315294E-2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5"/>
  <sheetViews>
    <sheetView workbookViewId="0">
      <selection activeCell="H8" sqref="H8"/>
    </sheetView>
  </sheetViews>
  <sheetFormatPr defaultRowHeight="13.8" x14ac:dyDescent="0.25"/>
  <cols>
    <col min="1" max="1" width="8.69921875" bestFit="1" customWidth="1"/>
    <col min="2" max="2" width="22.09765625" bestFit="1" customWidth="1"/>
    <col min="3" max="4" width="22.09765625" customWidth="1"/>
    <col min="5" max="5" width="24.296875" bestFit="1" customWidth="1"/>
    <col min="6" max="6" width="21.09765625" bestFit="1" customWidth="1"/>
    <col min="7" max="8" width="21.09765625" customWidth="1"/>
    <col min="9" max="9" width="16.3984375" bestFit="1" customWidth="1"/>
    <col min="10" max="10" width="16" bestFit="1" customWidth="1"/>
    <col min="11" max="11" width="17.8984375" bestFit="1" customWidth="1"/>
    <col min="12" max="12" width="16" customWidth="1"/>
    <col min="13" max="13" width="14.8984375" bestFit="1" customWidth="1"/>
    <col min="14" max="14" width="25.8984375" bestFit="1" customWidth="1"/>
    <col min="15" max="15" width="12" bestFit="1" customWidth="1"/>
    <col min="20" max="20" width="23.8984375" bestFit="1" customWidth="1"/>
    <col min="24" max="24" width="10.296875" bestFit="1" customWidth="1"/>
    <col min="25" max="25" width="17.8984375" bestFit="1" customWidth="1"/>
    <col min="26" max="26" width="15.69921875" bestFit="1" customWidth="1"/>
    <col min="27" max="27" width="16" bestFit="1" customWidth="1"/>
    <col min="29" max="29" width="10.3984375" bestFit="1" customWidth="1"/>
    <col min="30" max="30" width="7.3984375" bestFit="1" customWidth="1"/>
    <col min="31" max="31" width="9.59765625" bestFit="1" customWidth="1"/>
    <col min="32" max="32" width="9.8984375" bestFit="1" customWidth="1"/>
    <col min="33" max="33" width="13.8984375" bestFit="1" customWidth="1"/>
    <col min="34" max="34" width="10.296875" bestFit="1" customWidth="1"/>
  </cols>
  <sheetData>
    <row r="1" spans="1:34" x14ac:dyDescent="0.25">
      <c r="A1" s="9" t="s">
        <v>71</v>
      </c>
      <c r="B1" s="19" t="s">
        <v>72</v>
      </c>
      <c r="C1" s="9" t="s">
        <v>88</v>
      </c>
      <c r="D1" s="9" t="s">
        <v>89</v>
      </c>
      <c r="E1" s="9" t="s">
        <v>27</v>
      </c>
      <c r="F1" s="9" t="s">
        <v>26</v>
      </c>
      <c r="G1" s="9" t="s">
        <v>97</v>
      </c>
      <c r="H1" s="9" t="s">
        <v>98</v>
      </c>
      <c r="I1" s="9" t="s">
        <v>81</v>
      </c>
      <c r="J1" s="9" t="s">
        <v>82</v>
      </c>
      <c r="K1" s="9" t="s">
        <v>95</v>
      </c>
      <c r="L1" s="9" t="s">
        <v>94</v>
      </c>
      <c r="M1" s="9" t="s">
        <v>93</v>
      </c>
    </row>
    <row r="2" spans="1:34" x14ac:dyDescent="0.25">
      <c r="A2" t="s">
        <v>12</v>
      </c>
      <c r="B2" t="s">
        <v>73</v>
      </c>
      <c r="C2" s="12">
        <v>0</v>
      </c>
      <c r="D2" s="10" t="s">
        <v>80</v>
      </c>
      <c r="E2" s="2">
        <v>0</v>
      </c>
      <c r="F2" s="2">
        <v>0</v>
      </c>
      <c r="G2" s="11">
        <v>0</v>
      </c>
      <c r="H2" s="13">
        <v>0</v>
      </c>
      <c r="I2" s="17" t="s">
        <v>80</v>
      </c>
      <c r="J2" s="10" t="s">
        <v>80</v>
      </c>
      <c r="K2" s="1">
        <v>181.26666666666668</v>
      </c>
      <c r="L2" s="8">
        <v>5.5555555555555559E-2</v>
      </c>
      <c r="M2" s="18" t="s">
        <v>80</v>
      </c>
      <c r="O2" s="12"/>
      <c r="P2" s="5"/>
      <c r="Q2" s="2"/>
      <c r="R2" s="5"/>
      <c r="S2" s="2"/>
      <c r="T2" s="2"/>
      <c r="X2" s="5"/>
      <c r="Y2" s="2"/>
      <c r="Z2" s="10"/>
      <c r="AA2" s="10"/>
      <c r="AB2" s="4"/>
      <c r="AC2" s="1"/>
      <c r="AD2" s="4"/>
      <c r="AE2" s="1"/>
      <c r="AF2" s="1"/>
      <c r="AG2" s="1"/>
      <c r="AH2" s="8"/>
    </row>
    <row r="3" spans="1:34" x14ac:dyDescent="0.25">
      <c r="A3" t="s">
        <v>12</v>
      </c>
      <c r="B3" t="s">
        <v>76</v>
      </c>
      <c r="C3" s="12">
        <v>0.59358503677822738</v>
      </c>
      <c r="D3" s="12">
        <v>0.59358503677822738</v>
      </c>
      <c r="E3" s="2">
        <v>8.6206896551724146</v>
      </c>
      <c r="F3" s="2">
        <v>2.2219070431034482</v>
      </c>
      <c r="G3" s="11">
        <v>0.68098168539397086</v>
      </c>
      <c r="H3" s="13">
        <v>0.33328605646551723</v>
      </c>
      <c r="I3" s="13">
        <v>25.232730629727968</v>
      </c>
      <c r="J3" s="8">
        <v>1.7208528935216311E-2</v>
      </c>
      <c r="K3" s="1">
        <v>340.80731435632191</v>
      </c>
      <c r="L3" s="8">
        <v>0.10445240724418349</v>
      </c>
      <c r="M3" s="18">
        <v>258.02157014881965</v>
      </c>
      <c r="O3" s="12"/>
      <c r="P3" s="5"/>
      <c r="Q3" s="2"/>
      <c r="R3" s="5"/>
      <c r="S3" s="2"/>
      <c r="T3" s="2"/>
      <c r="X3" s="5"/>
      <c r="Y3" s="2"/>
      <c r="Z3" s="11"/>
      <c r="AA3" s="8"/>
      <c r="AB3" s="4"/>
      <c r="AC3" s="1"/>
      <c r="AD3" s="4"/>
      <c r="AE3" s="1"/>
      <c r="AF3" s="1"/>
      <c r="AG3" s="1"/>
      <c r="AH3" s="8"/>
    </row>
    <row r="4" spans="1:34" x14ac:dyDescent="0.25">
      <c r="A4" t="s">
        <v>12</v>
      </c>
      <c r="B4" t="s">
        <v>75</v>
      </c>
      <c r="C4" s="12">
        <v>0.73282724347186456</v>
      </c>
      <c r="D4" s="12">
        <v>0.13924220669363718</v>
      </c>
      <c r="E4" s="2">
        <v>17.241379310344829</v>
      </c>
      <c r="F4" s="2">
        <v>4.4438140862068964</v>
      </c>
      <c r="G4" s="11">
        <v>1.3619633707879417</v>
      </c>
      <c r="H4" s="13">
        <v>0.66657211293103447</v>
      </c>
      <c r="I4" s="13">
        <v>40.876677204034344</v>
      </c>
      <c r="J4" s="8">
        <v>2.787758062191021E-2</v>
      </c>
      <c r="K4" s="1">
        <v>378.23209844827585</v>
      </c>
      <c r="L4" s="8">
        <v>0.11592255070745244</v>
      </c>
      <c r="M4" s="18">
        <v>231.94596798372723</v>
      </c>
      <c r="O4" s="12"/>
      <c r="P4" s="5"/>
      <c r="Q4" s="2"/>
      <c r="R4" s="5"/>
      <c r="S4" s="2"/>
      <c r="T4" s="2"/>
      <c r="X4" s="5"/>
      <c r="Y4" s="2"/>
      <c r="Z4" s="11"/>
      <c r="AA4" s="8"/>
      <c r="AB4" s="4"/>
      <c r="AC4" s="1"/>
      <c r="AD4" s="4"/>
      <c r="AE4" s="1"/>
      <c r="AF4" s="1"/>
      <c r="AG4" s="1"/>
      <c r="AH4" s="8"/>
    </row>
    <row r="5" spans="1:34" x14ac:dyDescent="0.25">
      <c r="A5" t="s">
        <v>12</v>
      </c>
      <c r="B5" t="s">
        <v>74</v>
      </c>
      <c r="C5" s="12">
        <v>0.78184629152874829</v>
      </c>
      <c r="D5" s="12">
        <v>4.9019048056883729E-2</v>
      </c>
      <c r="E5" s="2">
        <v>25.862068965517242</v>
      </c>
      <c r="F5" s="2">
        <v>6.6657211293103442</v>
      </c>
      <c r="G5" s="11">
        <v>2.0429450561819125</v>
      </c>
      <c r="H5" s="13">
        <v>0.99985816939655159</v>
      </c>
      <c r="I5" s="13">
        <v>57.470777189116255</v>
      </c>
      <c r="J5" s="8">
        <v>3.9194629653879876E-2</v>
      </c>
      <c r="K5" s="1">
        <v>391.40717900383146</v>
      </c>
      <c r="L5" s="8">
        <v>0.11996051826769383</v>
      </c>
      <c r="M5" s="18">
        <v>224.97665632242544</v>
      </c>
      <c r="O5" s="12"/>
      <c r="P5" s="5"/>
      <c r="Q5" s="2"/>
      <c r="R5" s="5"/>
      <c r="S5" s="2"/>
      <c r="T5" s="2"/>
      <c r="X5" s="5"/>
      <c r="Y5" s="2"/>
      <c r="Z5" s="11"/>
      <c r="AA5" s="8"/>
      <c r="AB5" s="4"/>
      <c r="AC5" s="1"/>
      <c r="AD5" s="4"/>
      <c r="AE5" s="1"/>
      <c r="AF5" s="1"/>
      <c r="AG5" s="1"/>
      <c r="AH5" s="8"/>
    </row>
    <row r="6" spans="1:34" x14ac:dyDescent="0.25">
      <c r="A6" t="s">
        <v>12</v>
      </c>
      <c r="B6" t="s">
        <v>77</v>
      </c>
      <c r="C6" s="12">
        <v>0.83086533989211719</v>
      </c>
      <c r="D6" s="12">
        <v>4.90190483633689E-2</v>
      </c>
      <c r="E6" s="2">
        <v>34.482758620689658</v>
      </c>
      <c r="F6" s="2">
        <v>8.8876281724137929</v>
      </c>
      <c r="G6" s="11">
        <v>2.7239267415758834</v>
      </c>
      <c r="H6" s="13">
        <v>1.3331442258620689</v>
      </c>
      <c r="I6" s="13">
        <v>72.106853516394722</v>
      </c>
      <c r="J6" s="8">
        <v>4.9176321555239662E-2</v>
      </c>
      <c r="K6" s="1">
        <v>404.5822596417625</v>
      </c>
      <c r="L6" s="8">
        <v>0.12399848585318207</v>
      </c>
      <c r="M6" s="18">
        <v>218.82968973185115</v>
      </c>
      <c r="O6" s="12"/>
      <c r="P6" s="5"/>
      <c r="Q6" s="2"/>
      <c r="R6" s="5"/>
      <c r="S6" s="2"/>
      <c r="T6" s="2"/>
      <c r="X6" s="5"/>
      <c r="Y6" s="2"/>
      <c r="Z6" s="11"/>
      <c r="AA6" s="8"/>
      <c r="AB6" s="4"/>
      <c r="AC6" s="1"/>
      <c r="AD6" s="4"/>
      <c r="AE6" s="1"/>
      <c r="AF6" s="1"/>
      <c r="AG6" s="1"/>
      <c r="AH6" s="8"/>
    </row>
    <row r="7" spans="1:34" x14ac:dyDescent="0.25">
      <c r="A7" t="s">
        <v>12</v>
      </c>
      <c r="B7" t="s">
        <v>78</v>
      </c>
      <c r="C7" s="12">
        <v>0.84944690511217358</v>
      </c>
      <c r="D7" s="12">
        <v>1.8581565220056384E-2</v>
      </c>
      <c r="E7" s="2">
        <v>43.103448275862071</v>
      </c>
      <c r="F7" s="2">
        <v>11.109535215517242</v>
      </c>
      <c r="G7" s="11">
        <v>3.4049084269698549</v>
      </c>
      <c r="H7" s="13">
        <v>1.6664302823275863</v>
      </c>
      <c r="I7" s="13">
        <v>88.161904226868003</v>
      </c>
      <c r="J7" s="8">
        <v>6.0125743112576645E-2</v>
      </c>
      <c r="K7" s="1">
        <v>409.57651449425288</v>
      </c>
      <c r="L7" s="8">
        <v>0.12552915118740127</v>
      </c>
      <c r="M7" s="18">
        <v>216.68500523155063</v>
      </c>
      <c r="O7" s="12"/>
      <c r="P7" s="5"/>
      <c r="Q7" s="2"/>
      <c r="R7" s="5"/>
      <c r="S7" s="2"/>
      <c r="T7" s="2"/>
      <c r="X7" s="5"/>
      <c r="Y7" s="2"/>
      <c r="Z7" s="11"/>
      <c r="AA7" s="8"/>
      <c r="AB7" s="4"/>
      <c r="AC7" s="1"/>
      <c r="AD7" s="4"/>
      <c r="AE7" s="1"/>
      <c r="AF7" s="1"/>
      <c r="AG7" s="1"/>
      <c r="AH7" s="8"/>
    </row>
    <row r="8" spans="1:34" x14ac:dyDescent="0.25">
      <c r="A8" t="s">
        <v>12</v>
      </c>
      <c r="B8" t="s">
        <v>79</v>
      </c>
      <c r="C8" s="12">
        <v>0.86802847063871524</v>
      </c>
      <c r="D8" s="12">
        <v>1.8581565526541666E-2</v>
      </c>
      <c r="E8" s="2">
        <v>51.724137931034484</v>
      </c>
      <c r="F8" s="2">
        <v>13.331442258620688</v>
      </c>
      <c r="G8" s="11">
        <v>4.0858901123638249</v>
      </c>
      <c r="H8" s="13">
        <v>1.9997163387931032</v>
      </c>
      <c r="I8" s="13">
        <v>103.52958580614825</v>
      </c>
      <c r="J8" s="8">
        <v>7.0606384189633775E-2</v>
      </c>
      <c r="K8" s="1">
        <v>414.57076942911885</v>
      </c>
      <c r="L8" s="8">
        <v>0.12705981654686735</v>
      </c>
      <c r="M8" s="18">
        <v>214.63214163783223</v>
      </c>
      <c r="O8" s="12"/>
      <c r="P8" s="5"/>
      <c r="Q8" s="2"/>
      <c r="R8" s="5"/>
      <c r="S8" s="2"/>
      <c r="T8" s="2"/>
      <c r="X8" s="5"/>
      <c r="Y8" s="2"/>
      <c r="Z8" s="11"/>
      <c r="AA8" s="8"/>
      <c r="AB8" s="4"/>
      <c r="AC8" s="1"/>
      <c r="AD8" s="4"/>
      <c r="AE8" s="1"/>
      <c r="AF8" s="1"/>
      <c r="AG8" s="1"/>
      <c r="AH8" s="8"/>
    </row>
    <row r="9" spans="1:34" x14ac:dyDescent="0.25">
      <c r="A9" t="s">
        <v>12</v>
      </c>
      <c r="B9" t="s">
        <v>13</v>
      </c>
      <c r="C9" s="12">
        <v>1</v>
      </c>
      <c r="D9" s="12">
        <v>0.13197152936128476</v>
      </c>
      <c r="E9" s="2">
        <v>103.44827586206897</v>
      </c>
      <c r="F9" s="2">
        <v>26.662884517241377</v>
      </c>
      <c r="G9" s="11">
        <v>8.1717802247276499</v>
      </c>
      <c r="H9" s="13">
        <v>3.9994326775862064</v>
      </c>
      <c r="I9" s="13">
        <v>179.7332560663435</v>
      </c>
      <c r="J9" s="8">
        <v>0.12257670337091474</v>
      </c>
      <c r="K9" s="1">
        <v>450.04137931034484</v>
      </c>
      <c r="L9" s="8">
        <v>0.13793103448275862</v>
      </c>
      <c r="M9" s="18">
        <v>202.24719101123844</v>
      </c>
      <c r="O9" s="12"/>
      <c r="P9" s="5"/>
      <c r="Q9" s="2"/>
      <c r="R9" s="5"/>
      <c r="S9" s="2"/>
      <c r="T9" s="2"/>
      <c r="X9" s="5"/>
      <c r="Y9" s="2"/>
      <c r="Z9" s="11"/>
      <c r="AA9" s="8"/>
      <c r="AB9" s="4"/>
      <c r="AC9" s="1"/>
      <c r="AD9" s="4"/>
      <c r="AE9" s="1"/>
      <c r="AF9" s="1"/>
      <c r="AG9" s="1"/>
      <c r="AH9" s="8"/>
    </row>
    <row r="10" spans="1:34" x14ac:dyDescent="0.25">
      <c r="A10" t="s">
        <v>15</v>
      </c>
      <c r="B10" t="s">
        <v>73</v>
      </c>
      <c r="C10" s="12">
        <v>0</v>
      </c>
      <c r="D10" s="10" t="s">
        <v>80</v>
      </c>
      <c r="E10" s="2">
        <v>0</v>
      </c>
      <c r="F10" s="2">
        <v>0</v>
      </c>
      <c r="G10" s="11">
        <v>0</v>
      </c>
      <c r="H10" s="13">
        <v>0</v>
      </c>
      <c r="I10" s="17" t="s">
        <v>80</v>
      </c>
      <c r="J10" s="10" t="s">
        <v>80</v>
      </c>
      <c r="K10" s="1">
        <v>370.77272727272731</v>
      </c>
      <c r="L10" s="8">
        <v>0.11363636363636365</v>
      </c>
      <c r="M10" s="18" t="s">
        <v>80</v>
      </c>
      <c r="O10" s="12"/>
      <c r="P10" s="5"/>
      <c r="Q10" s="2"/>
      <c r="R10" s="5"/>
      <c r="S10" s="2"/>
      <c r="T10" s="2"/>
      <c r="X10" s="5"/>
      <c r="Y10" s="2"/>
      <c r="Z10" s="10"/>
      <c r="AA10" s="10"/>
      <c r="AB10" s="4"/>
      <c r="AC10" s="1"/>
      <c r="AD10" s="4"/>
      <c r="AE10" s="1"/>
      <c r="AF10" s="1"/>
      <c r="AG10" s="1"/>
      <c r="AH10" s="8"/>
    </row>
    <row r="11" spans="1:34" x14ac:dyDescent="0.25">
      <c r="A11" t="s">
        <v>15</v>
      </c>
      <c r="B11" t="s">
        <v>76</v>
      </c>
      <c r="C11" s="12">
        <v>0.59358503677822738</v>
      </c>
      <c r="D11" s="12">
        <v>0.59358503677822738</v>
      </c>
      <c r="E11" s="2">
        <v>6.9444444444444446</v>
      </c>
      <c r="F11" s="2">
        <v>1.7898695625000001</v>
      </c>
      <c r="G11" s="11">
        <v>0.54856857990069874</v>
      </c>
      <c r="H11" s="13">
        <v>0.20583499968750002</v>
      </c>
      <c r="I11" s="13">
        <v>4.4282749999187028E-2</v>
      </c>
      <c r="J11" s="8">
        <v>1.062785999980489E-2</v>
      </c>
      <c r="K11" s="1">
        <v>285.18406056818185</v>
      </c>
      <c r="L11" s="8">
        <v>8.7404701657527839E-2</v>
      </c>
      <c r="M11" s="18">
        <v>0.61353678806164325</v>
      </c>
      <c r="O11" s="12"/>
      <c r="P11" s="5"/>
      <c r="Q11" s="2"/>
      <c r="R11" s="5"/>
      <c r="S11" s="2"/>
      <c r="T11" s="2"/>
      <c r="X11" s="5"/>
      <c r="Y11" s="2"/>
      <c r="Z11" s="11"/>
      <c r="AA11" s="8"/>
      <c r="AB11" s="4"/>
      <c r="AC11" s="1"/>
      <c r="AD11" s="4"/>
      <c r="AE11" s="1"/>
      <c r="AF11" s="1"/>
      <c r="AG11" s="1"/>
      <c r="AH11" s="8"/>
    </row>
    <row r="12" spans="1:34" x14ac:dyDescent="0.25">
      <c r="A12" t="s">
        <v>15</v>
      </c>
      <c r="B12" t="s">
        <v>75</v>
      </c>
      <c r="C12" s="12">
        <v>0.73282724347186456</v>
      </c>
      <c r="D12" s="12">
        <v>0.13924220669363718</v>
      </c>
      <c r="E12" s="2">
        <v>13.888888888888889</v>
      </c>
      <c r="F12" s="2">
        <v>3.5797391250000001</v>
      </c>
      <c r="G12" s="11">
        <v>1.0971371598013975</v>
      </c>
      <c r="H12" s="13">
        <v>0.41166999937500004</v>
      </c>
      <c r="I12" s="13">
        <v>7.1737447047893921E-2</v>
      </c>
      <c r="J12" s="8">
        <v>1.7216987291494547E-2</v>
      </c>
      <c r="K12" s="1">
        <v>265.10681117424241</v>
      </c>
      <c r="L12" s="8">
        <v>8.1251321311218094E-2</v>
      </c>
      <c r="M12" s="18">
        <v>0.46197405342924197</v>
      </c>
      <c r="O12" s="12"/>
      <c r="P12" s="5"/>
      <c r="Q12" s="2"/>
      <c r="R12" s="5"/>
      <c r="S12" s="2"/>
      <c r="T12" s="2"/>
      <c r="X12" s="5"/>
      <c r="Y12" s="2"/>
      <c r="Z12" s="11"/>
      <c r="AA12" s="8"/>
      <c r="AB12" s="4"/>
      <c r="AC12" s="1"/>
      <c r="AD12" s="4"/>
      <c r="AE12" s="1"/>
      <c r="AF12" s="1"/>
      <c r="AG12" s="1"/>
      <c r="AH12" s="8"/>
    </row>
    <row r="13" spans="1:34" x14ac:dyDescent="0.25">
      <c r="A13" t="s">
        <v>15</v>
      </c>
      <c r="B13" t="s">
        <v>74</v>
      </c>
      <c r="C13" s="12">
        <v>0.78184629152874829</v>
      </c>
      <c r="D13" s="12">
        <v>4.9019048056883729E-2</v>
      </c>
      <c r="E13" s="2">
        <v>20.833333333333332</v>
      </c>
      <c r="F13" s="2">
        <v>5.3696086875000004</v>
      </c>
      <c r="G13" s="11">
        <v>1.6457057397020964</v>
      </c>
      <c r="H13" s="13">
        <v>0.6175049990625</v>
      </c>
      <c r="I13" s="13">
        <v>0.10085963726519241</v>
      </c>
      <c r="J13" s="8">
        <v>2.4206312943646183E-2</v>
      </c>
      <c r="K13" s="1">
        <v>258.03878434343437</v>
      </c>
      <c r="L13" s="8">
        <v>7.9085075500623506E-2</v>
      </c>
      <c r="M13" s="18">
        <v>0.4214653845514188</v>
      </c>
      <c r="O13" s="12"/>
      <c r="P13" s="5"/>
      <c r="Q13" s="2"/>
      <c r="R13" s="5"/>
      <c r="S13" s="2"/>
      <c r="T13" s="2"/>
      <c r="X13" s="5"/>
      <c r="Y13" s="2"/>
      <c r="Z13" s="11"/>
      <c r="AA13" s="8"/>
      <c r="AB13" s="4"/>
      <c r="AC13" s="1"/>
      <c r="AD13" s="4"/>
      <c r="AE13" s="1"/>
      <c r="AF13" s="1"/>
      <c r="AG13" s="1"/>
      <c r="AH13" s="8"/>
    </row>
    <row r="14" spans="1:34" x14ac:dyDescent="0.25">
      <c r="A14" t="s">
        <v>15</v>
      </c>
      <c r="B14" t="s">
        <v>77</v>
      </c>
      <c r="C14" s="12">
        <v>0.83086533989211719</v>
      </c>
      <c r="D14" s="12">
        <v>4.90190483633689E-2</v>
      </c>
      <c r="E14" s="2">
        <v>27.777777777777779</v>
      </c>
      <c r="F14" s="2">
        <v>7.1594782500000003</v>
      </c>
      <c r="G14" s="11">
        <v>2.194274319602795</v>
      </c>
      <c r="H14" s="13">
        <v>0.82333999875000008</v>
      </c>
      <c r="I14" s="13">
        <v>0.12654554968111442</v>
      </c>
      <c r="J14" s="8">
        <v>3.0370931923467463E-2</v>
      </c>
      <c r="K14" s="1">
        <v>250.97075746843433</v>
      </c>
      <c r="L14" s="8">
        <v>7.691882967648471E-2</v>
      </c>
      <c r="M14" s="18">
        <v>0.38573654269130292</v>
      </c>
      <c r="O14" s="12"/>
      <c r="P14" s="5"/>
      <c r="Q14" s="2"/>
      <c r="R14" s="5"/>
      <c r="S14" s="2"/>
      <c r="T14" s="2"/>
      <c r="X14" s="5"/>
      <c r="Y14" s="2"/>
      <c r="Z14" s="11"/>
      <c r="AA14" s="8"/>
      <c r="AB14" s="4"/>
      <c r="AC14" s="1"/>
      <c r="AD14" s="4"/>
      <c r="AE14" s="1"/>
      <c r="AF14" s="1"/>
      <c r="AG14" s="1"/>
      <c r="AH14" s="8"/>
    </row>
    <row r="15" spans="1:34" x14ac:dyDescent="0.25">
      <c r="A15" t="s">
        <v>15</v>
      </c>
      <c r="B15" t="s">
        <v>78</v>
      </c>
      <c r="C15" s="12">
        <v>0.84944690511217358</v>
      </c>
      <c r="D15" s="12">
        <v>1.8581565220056384E-2</v>
      </c>
      <c r="E15" s="2">
        <v>34.722222222222221</v>
      </c>
      <c r="F15" s="2">
        <v>8.949347812500001</v>
      </c>
      <c r="G15" s="11">
        <v>2.7428428995034939</v>
      </c>
      <c r="H15" s="13">
        <v>1.0291749984375</v>
      </c>
      <c r="I15" s="13">
        <v>0.15472172321021843</v>
      </c>
      <c r="J15" s="8">
        <v>3.7133213570452434E-2</v>
      </c>
      <c r="K15" s="1">
        <v>248.29149284090909</v>
      </c>
      <c r="L15" s="8">
        <v>7.6097674647820607E-2</v>
      </c>
      <c r="M15" s="18">
        <v>0.37327070409897839</v>
      </c>
      <c r="O15" s="12"/>
      <c r="P15" s="5"/>
      <c r="Q15" s="2"/>
      <c r="R15" s="5"/>
      <c r="S15" s="2"/>
      <c r="T15" s="2"/>
      <c r="X15" s="5"/>
      <c r="Y15" s="2"/>
      <c r="Z15" s="11"/>
      <c r="AA15" s="8"/>
      <c r="AB15" s="4"/>
      <c r="AC15" s="1"/>
      <c r="AD15" s="4"/>
      <c r="AE15" s="1"/>
      <c r="AF15" s="1"/>
      <c r="AG15" s="1"/>
      <c r="AH15" s="8"/>
    </row>
    <row r="16" spans="1:34" x14ac:dyDescent="0.25">
      <c r="A16" t="s">
        <v>15</v>
      </c>
      <c r="B16" t="s">
        <v>79</v>
      </c>
      <c r="C16" s="12">
        <v>0.86802847063871524</v>
      </c>
      <c r="D16" s="12">
        <v>1.8581565526541666E-2</v>
      </c>
      <c r="E16" s="2">
        <v>41.666666666666664</v>
      </c>
      <c r="F16" s="2">
        <v>10.739217375000001</v>
      </c>
      <c r="G16" s="11">
        <v>3.2914114794041929</v>
      </c>
      <c r="H16" s="13">
        <v>1.235009998125</v>
      </c>
      <c r="I16" s="13">
        <v>0.18169158277193567</v>
      </c>
      <c r="J16" s="8">
        <v>4.3605979865264564E-2</v>
      </c>
      <c r="K16" s="1">
        <v>245.61222816919192</v>
      </c>
      <c r="L16" s="8">
        <v>7.5276519605612324E-2</v>
      </c>
      <c r="M16" s="18">
        <v>0.36133856852943108</v>
      </c>
      <c r="O16" s="12"/>
      <c r="P16" s="5"/>
      <c r="Q16" s="2"/>
      <c r="R16" s="5"/>
      <c r="S16" s="2"/>
      <c r="T16" s="2"/>
      <c r="X16" s="5"/>
      <c r="Y16" s="2"/>
      <c r="Z16" s="11"/>
      <c r="AA16" s="8"/>
      <c r="AB16" s="4"/>
      <c r="AC16" s="1"/>
      <c r="AD16" s="4"/>
      <c r="AE16" s="1"/>
      <c r="AF16" s="1"/>
      <c r="AG16" s="1"/>
      <c r="AH16" s="8"/>
    </row>
    <row r="17" spans="1:34" x14ac:dyDescent="0.25">
      <c r="A17" t="s">
        <v>15</v>
      </c>
      <c r="B17" t="s">
        <v>13</v>
      </c>
      <c r="C17" s="12">
        <v>1</v>
      </c>
      <c r="D17" s="12">
        <v>0.13197152936128476</v>
      </c>
      <c r="E17" s="2">
        <v>83.333333333333329</v>
      </c>
      <c r="F17" s="2">
        <v>21.478434750000002</v>
      </c>
      <c r="G17" s="11">
        <v>6.5828229588083857</v>
      </c>
      <c r="H17" s="13">
        <v>2.47001999625</v>
      </c>
      <c r="I17" s="13">
        <v>0.31542693344290174</v>
      </c>
      <c r="J17" s="8">
        <v>7.5702464026296434E-2</v>
      </c>
      <c r="K17" s="1">
        <v>135.94999999999999</v>
      </c>
      <c r="L17" s="8">
        <v>4.1666666666666657E-2</v>
      </c>
      <c r="M17" s="18">
        <v>0.17361111111111108</v>
      </c>
      <c r="O17" s="12"/>
      <c r="P17" s="5"/>
      <c r="Q17" s="2"/>
      <c r="R17" s="5"/>
      <c r="S17" s="2"/>
      <c r="T17" s="2"/>
      <c r="X17" s="5"/>
      <c r="Y17" s="2"/>
      <c r="Z17" s="11"/>
      <c r="AA17" s="8"/>
      <c r="AB17" s="4"/>
      <c r="AC17" s="1"/>
      <c r="AD17" s="4"/>
      <c r="AE17" s="1"/>
      <c r="AF17" s="1"/>
      <c r="AG17" s="1"/>
      <c r="AH17" s="8"/>
    </row>
    <row r="18" spans="1:34" x14ac:dyDescent="0.25">
      <c r="A18" t="s">
        <v>16</v>
      </c>
      <c r="B18" t="s">
        <v>73</v>
      </c>
      <c r="C18" s="12">
        <v>0</v>
      </c>
      <c r="D18" s="10" t="s">
        <v>80</v>
      </c>
      <c r="E18" s="2">
        <v>0</v>
      </c>
      <c r="F18" s="2">
        <v>0</v>
      </c>
      <c r="G18" s="11">
        <v>0</v>
      </c>
      <c r="H18" s="13">
        <v>0</v>
      </c>
      <c r="I18" s="17" t="s">
        <v>80</v>
      </c>
      <c r="J18" s="10" t="s">
        <v>80</v>
      </c>
      <c r="K18" s="1">
        <v>906.33333333333337</v>
      </c>
      <c r="L18" s="8">
        <v>0.27777777777777779</v>
      </c>
      <c r="M18" s="18" t="s">
        <v>80</v>
      </c>
      <c r="O18" s="12"/>
      <c r="P18" s="5"/>
      <c r="Q18" s="2"/>
      <c r="R18" s="5"/>
      <c r="S18" s="2"/>
      <c r="T18" s="2"/>
      <c r="X18" s="5"/>
      <c r="Y18" s="2"/>
      <c r="Z18" s="10"/>
      <c r="AA18" s="10"/>
      <c r="AB18" s="4"/>
      <c r="AC18" s="1"/>
      <c r="AD18" s="4"/>
      <c r="AE18" s="1"/>
      <c r="AF18" s="1"/>
      <c r="AG18" s="1"/>
      <c r="AH18" s="8"/>
    </row>
    <row r="19" spans="1:34" x14ac:dyDescent="0.25">
      <c r="A19" t="s">
        <v>16</v>
      </c>
      <c r="B19" t="s">
        <v>76</v>
      </c>
      <c r="C19" s="12">
        <v>0.59358503677822738</v>
      </c>
      <c r="D19" s="12">
        <v>0.59358503677822738</v>
      </c>
      <c r="E19" s="2">
        <v>5.9523809523809526</v>
      </c>
      <c r="F19" s="2">
        <v>1.5341739107142858</v>
      </c>
      <c r="G19" s="11">
        <v>0.47020163991488467</v>
      </c>
      <c r="H19" s="13">
        <v>0.11506304330357144</v>
      </c>
      <c r="I19" s="13">
        <v>1.2803526984604892E-2</v>
      </c>
      <c r="J19" s="8">
        <v>5.9410397514437271E-3</v>
      </c>
      <c r="K19" s="1">
        <v>437.51704469047615</v>
      </c>
      <c r="L19" s="8">
        <v>0.13409251093860369</v>
      </c>
      <c r="M19" s="18">
        <v>0.48684278870844211</v>
      </c>
      <c r="O19" s="12"/>
      <c r="P19" s="5"/>
      <c r="Q19" s="2"/>
      <c r="R19" s="5"/>
      <c r="S19" s="2"/>
      <c r="T19" s="2"/>
      <c r="X19" s="5"/>
      <c r="Y19" s="2"/>
      <c r="Z19" s="11"/>
      <c r="AA19" s="8"/>
      <c r="AB19" s="4"/>
      <c r="AC19" s="1"/>
      <c r="AD19" s="4"/>
      <c r="AE19" s="1"/>
      <c r="AF19" s="1"/>
      <c r="AG19" s="1"/>
      <c r="AH19" s="8"/>
    </row>
    <row r="20" spans="1:34" x14ac:dyDescent="0.25">
      <c r="A20" t="s">
        <v>16</v>
      </c>
      <c r="B20" t="s">
        <v>75</v>
      </c>
      <c r="C20" s="12">
        <v>0.73282724347186456</v>
      </c>
      <c r="D20" s="12">
        <v>0.13924220669363718</v>
      </c>
      <c r="E20" s="2">
        <v>11.904761904761905</v>
      </c>
      <c r="F20" s="2">
        <v>3.0683478214285715</v>
      </c>
      <c r="G20" s="11">
        <v>0.94040327982976935</v>
      </c>
      <c r="H20" s="13">
        <v>0.23012608660714287</v>
      </c>
      <c r="I20" s="13">
        <v>2.0741537937486641E-2</v>
      </c>
      <c r="J20" s="8">
        <v>9.6244028337547152E-3</v>
      </c>
      <c r="K20" s="1">
        <v>327.5428867857143</v>
      </c>
      <c r="L20" s="8">
        <v>0.10038705614371531</v>
      </c>
      <c r="M20" s="18">
        <v>0.29521830021894241</v>
      </c>
      <c r="O20" s="12"/>
      <c r="P20" s="5"/>
      <c r="Q20" s="2"/>
      <c r="R20" s="5"/>
      <c r="S20" s="2"/>
      <c r="T20" s="2"/>
      <c r="X20" s="5"/>
      <c r="Y20" s="2"/>
      <c r="Z20" s="11"/>
      <c r="AA20" s="8"/>
      <c r="AB20" s="4"/>
      <c r="AC20" s="1"/>
      <c r="AD20" s="4"/>
      <c r="AE20" s="1"/>
      <c r="AF20" s="1"/>
      <c r="AG20" s="1"/>
      <c r="AH20" s="8"/>
    </row>
    <row r="21" spans="1:34" x14ac:dyDescent="0.25">
      <c r="A21" t="s">
        <v>16</v>
      </c>
      <c r="B21" t="s">
        <v>74</v>
      </c>
      <c r="C21" s="12">
        <v>0.78184629152874829</v>
      </c>
      <c r="D21" s="12">
        <v>4.9019048056883729E-2</v>
      </c>
      <c r="E21" s="2">
        <v>17.857142857142858</v>
      </c>
      <c r="F21" s="2">
        <v>4.6025217321428569</v>
      </c>
      <c r="G21" s="11">
        <v>1.410604919744654</v>
      </c>
      <c r="H21" s="13">
        <v>0.34518912991071427</v>
      </c>
      <c r="I21" s="13">
        <v>2.9161673279235356E-2</v>
      </c>
      <c r="J21" s="8">
        <v>1.3531479285268051E-2</v>
      </c>
      <c r="K21" s="1">
        <v>288.82740920634922</v>
      </c>
      <c r="L21" s="8">
        <v>8.8521334193437912E-2</v>
      </c>
      <c r="M21" s="18">
        <v>0.24400219507323889</v>
      </c>
      <c r="O21" s="12"/>
      <c r="P21" s="5"/>
      <c r="Q21" s="2"/>
      <c r="R21" s="5"/>
      <c r="S21" s="2"/>
      <c r="T21" s="2"/>
      <c r="X21" s="5"/>
      <c r="Y21" s="2"/>
      <c r="Z21" s="11"/>
      <c r="AA21" s="8"/>
      <c r="AB21" s="4"/>
      <c r="AC21" s="1"/>
      <c r="AD21" s="4"/>
      <c r="AE21" s="1"/>
      <c r="AF21" s="1"/>
      <c r="AG21" s="1"/>
      <c r="AH21" s="8"/>
    </row>
    <row r="22" spans="1:34" x14ac:dyDescent="0.25">
      <c r="A22" t="s">
        <v>16</v>
      </c>
      <c r="B22" t="s">
        <v>77</v>
      </c>
      <c r="C22" s="12">
        <v>0.83086533989211719</v>
      </c>
      <c r="D22" s="12">
        <v>4.90190483633689E-2</v>
      </c>
      <c r="E22" s="2">
        <v>23.80952380952381</v>
      </c>
      <c r="F22" s="2">
        <v>6.1366956428571431</v>
      </c>
      <c r="G22" s="11">
        <v>1.8808065596595387</v>
      </c>
      <c r="H22" s="13">
        <v>0.46025217321428574</v>
      </c>
      <c r="I22" s="13">
        <v>3.6588273315310185E-2</v>
      </c>
      <c r="J22" s="8">
        <v>1.6977539584547025E-2</v>
      </c>
      <c r="K22" s="1">
        <v>250.11193138492064</v>
      </c>
      <c r="L22" s="8">
        <v>7.6655612168971626E-2</v>
      </c>
      <c r="M22" s="18">
        <v>0.19882934264106028</v>
      </c>
      <c r="O22" s="12"/>
      <c r="P22" s="5"/>
      <c r="Q22" s="2"/>
      <c r="R22" s="5"/>
      <c r="S22" s="2"/>
      <c r="T22" s="2"/>
      <c r="X22" s="5"/>
      <c r="Y22" s="2"/>
      <c r="Z22" s="11"/>
      <c r="AA22" s="8"/>
      <c r="AB22" s="4"/>
      <c r="AC22" s="1"/>
      <c r="AD22" s="4"/>
      <c r="AE22" s="1"/>
      <c r="AF22" s="1"/>
      <c r="AG22" s="1"/>
      <c r="AH22" s="8"/>
    </row>
    <row r="23" spans="1:34" x14ac:dyDescent="0.25">
      <c r="A23" t="s">
        <v>16</v>
      </c>
      <c r="B23" t="s">
        <v>78</v>
      </c>
      <c r="C23" s="12">
        <v>0.84944690511217358</v>
      </c>
      <c r="D23" s="12">
        <v>1.8581565220056384E-2</v>
      </c>
      <c r="E23" s="2">
        <v>29.761904761904759</v>
      </c>
      <c r="F23" s="2">
        <v>7.6708695535714284</v>
      </c>
      <c r="G23" s="11">
        <v>2.3510081995744234</v>
      </c>
      <c r="H23" s="13">
        <v>0.57531521651785711</v>
      </c>
      <c r="I23" s="13">
        <v>4.4734885666833431E-2</v>
      </c>
      <c r="J23" s="8">
        <v>2.0757697026960981E-2</v>
      </c>
      <c r="K23" s="1">
        <v>235.43612269047617</v>
      </c>
      <c r="L23" s="8">
        <v>7.2157693603799242E-2</v>
      </c>
      <c r="M23" s="18">
        <v>0.18306847668914583</v>
      </c>
      <c r="O23" s="12"/>
      <c r="P23" s="5"/>
      <c r="Q23" s="2"/>
      <c r="R23" s="5"/>
      <c r="S23" s="2"/>
      <c r="T23" s="2"/>
      <c r="X23" s="5"/>
      <c r="Y23" s="2"/>
      <c r="Z23" s="11"/>
      <c r="AA23" s="8"/>
      <c r="AB23" s="4"/>
      <c r="AC23" s="1"/>
      <c r="AD23" s="4"/>
      <c r="AE23" s="1"/>
      <c r="AF23" s="1"/>
      <c r="AG23" s="1"/>
      <c r="AH23" s="8"/>
    </row>
    <row r="24" spans="1:34" x14ac:dyDescent="0.25">
      <c r="A24" t="s">
        <v>16</v>
      </c>
      <c r="B24" t="s">
        <v>79</v>
      </c>
      <c r="C24" s="12">
        <v>0.86802847063871524</v>
      </c>
      <c r="D24" s="12">
        <v>1.8581565526541666E-2</v>
      </c>
      <c r="E24" s="2">
        <v>35.714285714285715</v>
      </c>
      <c r="F24" s="2">
        <v>9.2050434642857137</v>
      </c>
      <c r="G24" s="11">
        <v>2.8212098394893079</v>
      </c>
      <c r="H24" s="13">
        <v>0.69037825982142853</v>
      </c>
      <c r="I24" s="13">
        <v>5.2532714949698453E-2</v>
      </c>
      <c r="J24" s="8">
        <v>2.4376013589278329E-2</v>
      </c>
      <c r="K24" s="1">
        <v>220.76031375396826</v>
      </c>
      <c r="L24" s="8">
        <v>6.765977496443798E-2</v>
      </c>
      <c r="M24" s="18">
        <v>0.16798238457918555</v>
      </c>
      <c r="O24" s="12"/>
      <c r="P24" s="5"/>
      <c r="Q24" s="2"/>
      <c r="R24" s="5"/>
      <c r="S24" s="2"/>
      <c r="T24" s="2"/>
      <c r="X24" s="5"/>
      <c r="Y24" s="2"/>
      <c r="Z24" s="11"/>
      <c r="AA24" s="8"/>
      <c r="AB24" s="4"/>
      <c r="AC24" s="1"/>
      <c r="AD24" s="4"/>
      <c r="AE24" s="1"/>
      <c r="AF24" s="1"/>
      <c r="AG24" s="1"/>
      <c r="AH24" s="8"/>
    </row>
    <row r="25" spans="1:34" x14ac:dyDescent="0.25">
      <c r="A25" t="s">
        <v>16</v>
      </c>
      <c r="B25" t="s">
        <v>13</v>
      </c>
      <c r="C25" s="12">
        <v>1</v>
      </c>
      <c r="D25" s="12">
        <v>0.13197152936128476</v>
      </c>
      <c r="E25" s="2">
        <v>71.428571428571431</v>
      </c>
      <c r="F25" s="2">
        <v>18.410086928571427</v>
      </c>
      <c r="G25" s="11">
        <v>5.6424196789786158</v>
      </c>
      <c r="H25" s="13">
        <v>1.3807565196428571</v>
      </c>
      <c r="I25" s="13">
        <v>9.1199784432572623E-2</v>
      </c>
      <c r="J25" s="8">
        <v>4.2318147592339622E-2</v>
      </c>
      <c r="K25" s="1">
        <v>116.52857142857142</v>
      </c>
      <c r="L25" s="8">
        <v>3.5714285714285712E-2</v>
      </c>
      <c r="M25" s="18">
        <v>7.6967810351315294E-2</v>
      </c>
      <c r="O25" s="12"/>
      <c r="P25" s="5"/>
      <c r="Q25" s="2"/>
      <c r="R25" s="5"/>
      <c r="S25" s="2"/>
      <c r="T25" s="2"/>
      <c r="X25" s="5"/>
      <c r="Y25" s="2"/>
      <c r="Z25" s="11"/>
      <c r="AA25" s="8"/>
      <c r="AB25" s="4"/>
      <c r="AC25" s="1"/>
      <c r="AD25" s="4"/>
      <c r="AE25" s="1"/>
      <c r="AF25" s="1"/>
      <c r="AG25" s="1"/>
      <c r="AH2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Calcs by Scenario</vt:lpstr>
      <vt:lpstr>Subsectors_Emissions</vt:lpstr>
      <vt:lpstr>Rough1</vt:lpstr>
      <vt:lpstr>Calcs by Charge</vt:lpstr>
      <vt:lpstr>Trip Bin Distance</vt:lpstr>
      <vt:lpstr>Table 4</vt:lpstr>
      <vt:lpstr>Table  5</vt:lpstr>
      <vt:lpstr>Table 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 Jr., Erick C.</dc:creator>
  <cp:lastModifiedBy/>
  <dcterms:created xsi:type="dcterms:W3CDTF">2025-10-30T18:07:04Z</dcterms:created>
  <dcterms:modified xsi:type="dcterms:W3CDTF">2025-11-15T19:25:05Z</dcterms:modified>
</cp:coreProperties>
</file>